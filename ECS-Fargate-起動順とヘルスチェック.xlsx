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00_読み方" sheetId="1" state="visible" r:id="rId1"/>
    <sheet xmlns:r="http://schemas.openxmlformats.org/officeDocument/2006/relationships" name="01_結論" sheetId="2" state="visible" r:id="rId2"/>
    <sheet xmlns:r="http://schemas.openxmlformats.org/officeDocument/2006/relationships" name="02_たとえ話" sheetId="3" state="visible" r:id="rId3"/>
    <sheet xmlns:r="http://schemas.openxmlformats.org/officeDocument/2006/relationships" name="03_歴史" sheetId="4" state="visible" r:id="rId4"/>
    <sheet xmlns:r="http://schemas.openxmlformats.org/officeDocument/2006/relationships" name="04_設定できる範囲" sheetId="5" state="visible" r:id="rId5"/>
    <sheet xmlns:r="http://schemas.openxmlformats.org/officeDocument/2006/relationships" name="05_三つの時計" sheetId="6" state="visible" r:id="rId6"/>
    <sheet xmlns:r="http://schemas.openxmlformats.org/officeDocument/2006/relationships" name="06_動作原理" sheetId="7" state="visible" r:id="rId7"/>
    <sheet xmlns:r="http://schemas.openxmlformats.org/officeDocument/2006/relationships" name="07_前提" sheetId="8" state="visible" r:id="rId8"/>
    <sheet xmlns:r="http://schemas.openxmlformats.org/officeDocument/2006/relationships" name="08_計算" sheetId="9" state="visible" r:id="rId9"/>
    <sheet xmlns:r="http://schemas.openxmlformats.org/officeDocument/2006/relationships" name="09_300秒の現場" sheetId="10" state="visible" r:id="rId10"/>
    <sheet xmlns:r="http://schemas.openxmlformats.org/officeDocument/2006/relationships" name="10_パターン比較" sheetId="11" state="visible" r:id="rId11"/>
    <sheet xmlns:r="http://schemas.openxmlformats.org/officeDocument/2006/relationships" name="11_採用設定値" sheetId="12" state="visible" r:id="rId12"/>
    <sheet xmlns:r="http://schemas.openxmlformats.org/officeDocument/2006/relationships" name="12_取り違え" sheetId="13" state="visible" r:id="rId13"/>
    <sheet xmlns:r="http://schemas.openxmlformats.org/officeDocument/2006/relationships" name="13_チェックリスト" sheetId="14" state="visible" r:id="rId14"/>
    <sheet xmlns:r="http://schemas.openxmlformats.org/officeDocument/2006/relationships" name="14_出典" sheetId="15" state="visible" r:id="rId15"/>
  </sheets>
  <definedNames>
    <definedName name="P_sec">'07_前提'!$C$5</definedName>
    <definedName name="B_adot">'07_前提'!$C$6</definedName>
    <definedName name="B_be">'07_前提'!$C$7</definedName>
    <definedName name="B_fe">'07_前提'!$C$8</definedName>
    <definedName name="B_cw">'07_前提'!$C$9</definedName>
    <definedName name="I_adot">'07_前提'!$C$10</definedName>
    <definedName name="I_be">'07_前提'!$C$11</definedName>
    <definedName name="I_fe">'07_前提'!$C$12</definedName>
    <definedName name="I_alb">'07_前提'!$C$13</definedName>
    <definedName name="H_alb">'07_前提'!$C$14</definedName>
    <definedName name="U_alb">'07_前提'!$C$15</definedName>
    <definedName name="Margin">'07_前提'!$C$16</definedName>
    <definedName name="SpPad">'07_前提'!$C$17</definedName>
    <definedName name="GraceNow">'07_前提'!$C$18</definedName>
    <definedName name="SpNow">'07_前提'!$C$19</definedName>
    <definedName name="I_alb_now">'07_前提'!$C$20</definedName>
    <definedName name="H_alb_now">'07_前提'!$C$21</definedName>
    <definedName name="U_alb_now">'07_前提'!$C$22</definedName>
    <definedName name="E_P">'07_前提'!$C$26</definedName>
    <definedName name="E_adot">'07_前提'!$C$27</definedName>
    <definedName name="E_be">'07_前提'!$C$28</definedName>
    <definedName name="E_fe">'07_前提'!$C$29</definedName>
    <definedName name="_xlnm.Print_Titles" localSheetId="0">'00_読み方'!$1:$2</definedName>
    <definedName name="_xlnm.Print_Area" localSheetId="0">'00_読み方'!$A$1:$A$30</definedName>
    <definedName name="_xlnm.Print_Titles" localSheetId="1">'01_結論'!$1:$2</definedName>
    <definedName name="_xlnm.Print_Titles" localSheetId="2">'02_たとえ話'!$1:$2</definedName>
    <definedName name="_xlnm.Print_Area" localSheetId="2">'02_たとえ話'!$A$1:$A$21</definedName>
    <definedName name="_xlnm.Print_Titles" localSheetId="3">'03_歴史'!$1:$2</definedName>
    <definedName name="_xlnm.Print_Area" localSheetId="3">'03_歴史'!$A$1:$A$32</definedName>
    <definedName name="_xlnm._FilterDatabase" localSheetId="4" hidden="1">'04_設定できる範囲'!$A$4:$G$25</definedName>
    <definedName name="_xlnm.Print_Titles" localSheetId="4">'04_設定できる範囲'!$1:$4</definedName>
    <definedName name="_xlnm.Print_Titles" localSheetId="5">'05_三つの時計'!$1:$2</definedName>
    <definedName name="_xlnm.Print_Area" localSheetId="5">'05_三つの時計'!$A$1:$A$23</definedName>
    <definedName name="_xlnm.Print_Titles" localSheetId="6">'06_動作原理'!$1:$2</definedName>
    <definedName name="_xlnm.Print_Area" localSheetId="6">'06_動作原理'!$A$1:$A$30</definedName>
    <definedName name="_xlnm._FilterDatabase" localSheetId="7" hidden="1">'07_前提'!$A$4:$H$22</definedName>
    <definedName name="_xlnm.Print_Titles" localSheetId="7">'07_前提'!$1:$4</definedName>
    <definedName name="_xlnm.Print_Titles" localSheetId="8">'08_計算'!$1:$4</definedName>
    <definedName name="_xlnm.Print_Titles" localSheetId="9">'09_300秒の現場'!$1:$4</definedName>
    <definedName name="_xlnm.Print_Titles" localSheetId="10">'10_パターン比較'!$1:$4</definedName>
    <definedName name="_xlnm._FilterDatabase" localSheetId="11" hidden="1">'11_採用設定値'!$A$4:$I$40</definedName>
    <definedName name="_xlnm.Print_Titles" localSheetId="11">'11_採用設定値'!$1:$4</definedName>
    <definedName name="_xlnm.Print_Titles" localSheetId="12">'12_取り違え'!$1:$2</definedName>
    <definedName name="_xlnm.Print_Area" localSheetId="12">'12_取り違え'!$A$1:$A$19</definedName>
    <definedName name="_xlnm.Print_Titles" localSheetId="13">'13_チェックリスト'!$1:$2</definedName>
    <definedName name="_xlnm.Print_Area" localSheetId="13">'13_チェックリスト'!$A$1:$A$25</definedName>
    <definedName name="_xlnm.Print_Titles" localSheetId="14">'14_出典'!$1:$2</definedName>
    <definedName name="_xlnm.Print_Area" localSheetId="14">'14_出典'!$A$1:$A$23</definedName>
  </definedNames>
  <calcPr calcId="124519" calcMode="auto" fullCalcOnLoad="1"/>
</workbook>
</file>

<file path=xl/styles.xml><?xml version="1.0" encoding="utf-8"?>
<styleSheet xmlns="http://schemas.openxmlformats.org/spreadsheetml/2006/main">
  <numFmts count="0"/>
  <fonts count="9">
    <font>
      <name val="Calibri"/>
      <family val="2"/>
      <color theme="1"/>
      <sz val="11"/>
      <scheme val="minor"/>
    </font>
    <font>
      <name val="Meiryo UI"/>
      <color rgb="001A1A1A"/>
      <sz val="11"/>
    </font>
    <font>
      <name val="Meiryo UI"/>
      <b val="1"/>
      <color rgb="00FFFFFF"/>
      <sz val="16"/>
    </font>
    <font>
      <name val="Meiryo UI"/>
      <color rgb="001A1A1A"/>
      <sz val="10"/>
    </font>
    <font>
      <name val="Meiryo UI"/>
      <b val="1"/>
      <color rgb="001A1A1A"/>
      <sz val="12"/>
    </font>
    <font>
      <name val="Meiryo UI"/>
      <b val="1"/>
      <color rgb="00FFFFFF"/>
      <sz val="10"/>
    </font>
    <font>
      <name val="Meiryo UI"/>
      <b val="1"/>
      <color rgb="001A1A1A"/>
      <sz val="10"/>
    </font>
    <font>
      <name val="Meiryo UI"/>
      <b val="1"/>
      <color rgb="001A1A1A"/>
      <sz val="14"/>
    </font>
    <font>
      <name val="Meiryo UI"/>
      <b val="1"/>
      <color rgb="001A1A1A"/>
      <sz val="11"/>
    </font>
  </fonts>
  <fills count="9">
    <fill>
      <patternFill/>
    </fill>
    <fill>
      <patternFill patternType="gray125"/>
    </fill>
    <fill>
      <patternFill patternType="solid">
        <fgColor rgb="002C2C2C"/>
      </patternFill>
    </fill>
    <fill>
      <patternFill patternType="solid">
        <fgColor rgb="00E4E4E4"/>
      </patternFill>
    </fill>
    <fill>
      <patternFill patternType="solid">
        <fgColor rgb="00FFFFFF"/>
      </patternFill>
    </fill>
    <fill>
      <patternFill patternType="solid">
        <fgColor rgb="00F2F2F2"/>
      </patternFill>
    </fill>
    <fill>
      <patternFill patternType="solid">
        <fgColor rgb="00CFCFCF"/>
      </patternFill>
    </fill>
    <fill>
      <patternFill patternType="solid">
        <fgColor rgb="00F7F7F7"/>
      </patternFill>
    </fill>
    <fill>
      <patternFill patternType="solid">
        <fgColor rgb="00D6D6D6"/>
      </patternFill>
    </fill>
  </fills>
  <borders count="3">
    <border>
      <left/>
      <right/>
      <top/>
      <bottom/>
      <diagonal/>
    </border>
    <border>
      <left style="thin">
        <color rgb="00B0B0B0"/>
      </left>
      <right style="thin">
        <color rgb="00B0B0B0"/>
      </right>
      <top style="thin">
        <color rgb="00B0B0B0"/>
      </top>
      <bottom style="thin">
        <color rgb="00B0B0B0"/>
      </bottom>
    </border>
    <border>
      <left style="medium">
        <color rgb="00404040"/>
      </left>
      <right style="medium">
        <color rgb="00404040"/>
      </right>
      <top style="medium">
        <color rgb="00404040"/>
      </top>
      <bottom style="medium">
        <color rgb="00404040"/>
      </bottom>
    </border>
  </borders>
  <cellStyleXfs count="1">
    <xf numFmtId="0" fontId="1" fillId="0" borderId="0"/>
  </cellStyleXfs>
  <cellXfs count="26">
    <xf numFmtId="0" fontId="0" fillId="0" borderId="0" pivotButton="0" quotePrefix="0" xfId="0"/>
    <xf numFmtId="0" fontId="2" fillId="2" borderId="0" applyAlignment="1" pivotButton="0" quotePrefix="0" xfId="0">
      <alignment horizontal="left" vertical="center" wrapText="1"/>
    </xf>
    <xf numFmtId="0" fontId="3" fillId="3" borderId="0" applyAlignment="1" pivotButton="0" quotePrefix="0" xfId="0">
      <alignment horizontal="left" vertical="center" wrapText="1"/>
    </xf>
    <xf numFmtId="0" fontId="1" fillId="0" borderId="0" applyAlignment="1" pivotButton="0" quotePrefix="0" xfId="0">
      <alignment horizontal="left" vertical="center" wrapText="1"/>
    </xf>
    <xf numFmtId="0" fontId="4" fillId="3" borderId="0" applyAlignment="1" pivotButton="0" quotePrefix="0" xfId="0">
      <alignment horizontal="left" vertical="center" wrapText="1"/>
    </xf>
    <xf numFmtId="0" fontId="1" fillId="4" borderId="0" applyAlignment="1" pivotButton="0" quotePrefix="0" xfId="0">
      <alignment horizontal="left" vertical="center" wrapText="1"/>
    </xf>
    <xf numFmtId="0" fontId="4" fillId="6" borderId="1" applyAlignment="1" pivotButton="0" quotePrefix="0" xfId="0">
      <alignment horizontal="left" vertical="center" wrapText="1"/>
    </xf>
    <xf numFmtId="0" fontId="8" fillId="3" borderId="1" applyAlignment="1" pivotButton="0" quotePrefix="0" xfId="0">
      <alignment horizontal="left" vertical="center" wrapText="1"/>
    </xf>
    <xf numFmtId="0" fontId="1" fillId="3" borderId="1" applyAlignment="1" pivotButton="0" quotePrefix="0" xfId="0">
      <alignment horizontal="left" vertical="center" wrapText="1"/>
    </xf>
    <xf numFmtId="0" fontId="1" fillId="7" borderId="1" applyAlignment="1" pivotButton="0" quotePrefix="0" xfId="0">
      <alignment horizontal="left" vertical="center" wrapText="1"/>
    </xf>
    <xf numFmtId="0" fontId="1" fillId="4" borderId="1" applyAlignment="1" pivotButton="0" quotePrefix="0" xfId="0">
      <alignment horizontal="left" vertical="center" wrapText="1"/>
    </xf>
    <xf numFmtId="0" fontId="5" fillId="2" borderId="1" applyAlignment="1" pivotButton="0" quotePrefix="0" xfId="0">
      <alignment horizontal="center" vertical="center" wrapText="1"/>
    </xf>
    <xf numFmtId="3" fontId="8" fillId="4" borderId="1" applyAlignment="1" pivotButton="0" quotePrefix="0" xfId="0">
      <alignment horizontal="right" vertical="center" wrapText="1"/>
    </xf>
    <xf numFmtId="3" fontId="8" fillId="7" borderId="1" applyAlignment="1" pivotButton="0" quotePrefix="0" xfId="0">
      <alignment horizontal="right" vertical="center" wrapText="1"/>
    </xf>
    <xf numFmtId="0" fontId="8" fillId="6" borderId="1" applyAlignment="1" pivotButton="0" quotePrefix="0" xfId="0">
      <alignment horizontal="left" vertical="center" wrapText="1"/>
    </xf>
    <xf numFmtId="3" fontId="8" fillId="6" borderId="1" applyAlignment="1" pivotButton="0" quotePrefix="0" xfId="0">
      <alignment horizontal="right" vertical="center" wrapText="1"/>
    </xf>
    <xf numFmtId="0" fontId="1" fillId="8" borderId="1" applyAlignment="1" pivotButton="0" quotePrefix="0" xfId="0">
      <alignment horizontal="left" vertical="center" wrapText="1"/>
    </xf>
    <xf numFmtId="3" fontId="8" fillId="8" borderId="1" applyAlignment="1" pivotButton="0" quotePrefix="0" xfId="0">
      <alignment horizontal="right" vertical="center" wrapText="1"/>
    </xf>
    <xf numFmtId="0" fontId="4" fillId="6" borderId="0" applyAlignment="1" pivotButton="0" quotePrefix="0" xfId="0">
      <alignment horizontal="left" vertical="center" wrapText="1"/>
    </xf>
    <xf numFmtId="0" fontId="6" fillId="5" borderId="1" applyAlignment="1" pivotButton="0" quotePrefix="0" xfId="0">
      <alignment horizontal="left" vertical="center" wrapText="1"/>
    </xf>
    <xf numFmtId="0" fontId="1" fillId="5" borderId="1" applyAlignment="1" pivotButton="0" quotePrefix="0" xfId="0">
      <alignment horizontal="left" vertical="center" wrapText="1"/>
    </xf>
    <xf numFmtId="3" fontId="7" fillId="5" borderId="2" applyAlignment="1" pivotButton="0" quotePrefix="0" xfId="0">
      <alignment horizontal="center" vertical="center" wrapText="1"/>
    </xf>
    <xf numFmtId="3" fontId="1" fillId="5" borderId="1" applyAlignment="1" pivotButton="0" quotePrefix="0" xfId="0">
      <alignment horizontal="right" vertical="center" wrapText="1"/>
    </xf>
    <xf numFmtId="0" fontId="3" fillId="0" borderId="0" applyAlignment="1" pivotButton="0" quotePrefix="0" xfId="0">
      <alignment horizontal="left" vertical="center" wrapText="1"/>
    </xf>
    <xf numFmtId="3" fontId="1" fillId="4" borderId="1" applyAlignment="1" pivotButton="0" quotePrefix="0" xfId="0">
      <alignment horizontal="right" vertical="center" wrapText="1"/>
    </xf>
    <xf numFmtId="3" fontId="1" fillId="7"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推奨猶予（安全側）</a:t>
            </a:r>
          </a:p>
        </rich>
      </tx>
    </title>
    <plotArea>
      <barChart>
        <barDir val="col"/>
        <grouping val="clustered"/>
        <ser>
          <idx val="0"/>
          <order val="0"/>
          <tx>
            <strRef>
              <f>'01_結論'!D12</f>
            </strRef>
          </tx>
          <spPr>
            <a:solidFill xmlns:a="http://schemas.openxmlformats.org/drawingml/2006/main">
              <a:srgbClr val="4A4A4A"/>
            </a:solidFill>
            <a:ln xmlns:a="http://schemas.openxmlformats.org/drawingml/2006/main">
              <a:solidFill>
                <a:srgbClr val="1A1A1A"/>
              </a:solidFill>
              <a:prstDash val="solid"/>
            </a:ln>
          </spPr>
          <cat>
            <numRef>
              <f>'01_結論'!$A$13:$A$20</f>
            </numRef>
          </cat>
          <val>
            <numRef>
              <f>'01_結論'!$D$13:$D$20</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spPr>
            <a:solidFill xmlns:a="http://schemas.openxmlformats.org/drawingml/2006/main">
              <a:srgbClr val="D0D0D0"/>
            </a:solidFill>
            <a:ln xmlns:a="http://schemas.openxmlformats.org/drawingml/2006/main">
              <a:prstDash val="solid"/>
            </a:ln>
          </spPr>
        </majorGridlines>
        <title>
          <tx>
            <rich>
              <a:bodyPr xmlns:a="http://schemas.openxmlformats.org/drawingml/2006/main"/>
              <a:p xmlns:a="http://schemas.openxmlformats.org/drawingml/2006/main">
                <a:pPr>
                  <a:defRPr/>
                </a:pPr>
                <a:r>
                  <a:t>秒</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設計書</author>
  </authors>
  <commentList>
    <comment ref="C5" authorId="0" shapeId="0">
      <text>
        <t>入力。0〜600。DescribeTasks の pullStartedAt と pullStoppedAt の差。大きいイメージの日を使う。</t>
      </text>
    </comment>
    <comment ref="C6" authorId="0" shapeId="0">
      <text>
        <t>入力。1〜600。コレクタのログでパイプライン開始が出た時刻。コンテナの started から測る。</t>
      </text>
    </comment>
    <comment ref="C7" authorId="0" shapeId="0">
      <text>
        <t>入力。1〜600。アプリログの listen と、コンテナ検査の初回成功。サイドカーが同じタスクにいる状態で測る。</t>
      </text>
    </comment>
    <comment ref="C8" authorId="0" shapeId="0">
      <text>
        <t>入力。1〜600。フロントのログと、ALBターゲットが成功を返し始めた時刻。</t>
      </text>
    </comment>
    <comment ref="C9" authorId="0" shapeId="0">
      <text>
        <t>入力。1〜600。エージェントのプロセスが現れた時刻。</t>
      </text>
    </comment>
    <comment ref="C10" authorId="0" shapeId="0">
      <text>
        <t>入力。5〜300。タスク定義の healthCheck.interval。</t>
      </text>
    </comment>
    <comment ref="C11" authorId="0" shapeId="0">
      <text>
        <t>入力。5〜300。タスク定義。</t>
      </text>
    </comment>
    <comment ref="C12" authorId="0" shapeId="0">
      <text>
        <t>入力。5〜300。タスク定義。</t>
      </text>
    </comment>
    <comment ref="C13" authorId="0" shapeId="0">
      <text>
        <t>入力。5〜300。ターゲットグループの属性。</t>
      </text>
    </comment>
    <comment ref="C14" authorId="0" shapeId="0">
      <text>
        <t>入力。2〜10。HealthyThresholdCount。最小2。</t>
      </text>
    </comment>
    <comment ref="C15" authorId="0" shapeId="0">
      <text>
        <t>入力。2〜10。UnhealthyThresholdCount。</t>
      </text>
    </comment>
    <comment ref="C16" authorId="0" shapeId="0">
      <text>
        <t>入力。0〜300。デプロイを数回見て、計算との差が余白を超えたら増やす。</t>
      </text>
    </comment>
    <comment ref="C17" authorId="0" shapeId="0">
      <text>
        <t>入力。0〜300。起動予算のばらつき。</t>
      </text>
    </comment>
    <comment ref="C18" authorId="0" shapeId="0">
      <text>
        <t>入力。0〜2147483647。サービス定義。ターゲットグループの登録解除遅延と混同しない。</t>
      </text>
    </comment>
    <comment ref="C19" authorId="0" shapeId="0">
      <text>
        <t>入力。0〜300。タスク定義。</t>
      </text>
    </comment>
    <comment ref="C20" authorId="0" shapeId="0">
      <text>
        <t>入力。5〜300。ターゲットグループ。</t>
      </text>
    </comment>
    <comment ref="C21" authorId="0" shapeId="0">
      <text>
        <t>入力。2〜10。ターゲットグループ。</t>
      </text>
    </comment>
    <comment ref="C22" authorId="0" shapeId="0">
      <text>
        <t>入力。2〜10。ターゲットグループ。</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31</row>
      <rowOff>0</rowOff>
    </from>
    <ext cx="72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4A4A4A"/>
    <outlinePr summaryBelow="1" summaryRight="1"/>
    <pageSetUpPr fitToPage="1"/>
  </sheetPr>
  <dimension ref="A1:A29"/>
  <sheetViews>
    <sheetView showGridLines="0" view="normal" zoomScale="110" zoomScaleNormal="110" workbookViewId="0">
      <pane ySplit="3" topLeftCell="A4" activePane="bottomLeft" state="frozen"/>
      <selection pane="bottomLeft" activeCell="A1" sqref="A1"/>
    </sheetView>
  </sheetViews>
  <sheetFormatPr baseColWidth="8" defaultColWidth="12" defaultRowHeight="18"/>
  <cols>
    <col width="118" customWidth="1" min="1" max="1"/>
  </cols>
  <sheetData>
    <row r="1" ht="32" customHeight="1">
      <c r="A1" s="1" t="inlineStr">
        <is>
          <t>読み方</t>
        </is>
      </c>
    </row>
    <row r="2" ht="36" customHeight="1">
      <c r="A2" s="2" t="inlineStr">
        <is>
          <t>このブックは設計書です。灰色のセルだけを書き換えます。白い数値は式です。色は白・灰・黒だけです。</t>
        </is>
      </c>
    </row>
    <row r="3">
      <c r="A3" s="3" t="n"/>
    </row>
    <row r="4" ht="28" customHeight="1">
      <c r="A4" s="4" t="inlineStr">
        <is>
          <t>このファイルで分かること</t>
        </is>
      </c>
    </row>
    <row r="5" ht="44" customHeight="1">
      <c r="A5" s="5" t="inlineStr">
        <is>
          <t>ECS on Fargate の1つのタスクに、フロント、バックエンド、ADOT Collector、CloudWatch Agent を載せるときの、起動順とヘルスチェックと ALB の猶予の取り方です。</t>
        </is>
      </c>
    </row>
    <row r="6" ht="44" customHeight="1">
      <c r="A6" s="5" t="inlineStr">
        <is>
          <t>いまの案は、猶予 300 秒、フロントとバックエンドの startPeriod 210 秒、コンテナ同士の依存なし、です。依存を HEALTHY で直列にすると、300 秒の時点でフロントがまだ準備中になり、タスクが止められ得ます。</t>
        </is>
      </c>
    </row>
    <row r="7" ht="44" customHeight="1">
      <c r="A7" s="5" t="inlineStr">
        <is>
          <t>結論の数値は「07_前提」の起動予算から計算しています。210 秒と 60 秒は、この環境で測った値ではなく、相談内容の予算です。実測に置き換えてください。</t>
        </is>
      </c>
    </row>
    <row r="8" ht="28" customHeight="1">
      <c r="A8" s="4" t="inlineStr">
        <is>
          <t>シートの順</t>
        </is>
      </c>
    </row>
    <row r="9" ht="36" customHeight="1">
      <c r="A9" s="5" t="inlineStr">
        <is>
          <t>01_結論 … 先に採用値。ここだけ読んでも判断できます。</t>
        </is>
      </c>
    </row>
    <row r="10" ht="36" customHeight="1">
      <c r="A10" s="5" t="inlineStr">
        <is>
          <t>02_たとえ話 … 店、店長、案内人、郵便係のたとえ。仕組みの名前を覚える前に、時計が3つあることだけ掴みます。</t>
        </is>
      </c>
    </row>
    <row r="11" ht="36" customHeight="1">
      <c r="A11" s="5" t="inlineStr">
        <is>
          <t>03_歴史 … それぞれの機能が何年に、どの事故を止めるために入ったか。</t>
        </is>
      </c>
    </row>
    <row r="12" ht="36" customHeight="1">
      <c r="A12" s="5" t="inlineStr">
        <is>
          <t>04_設定できる範囲 … パラメータ名、場所、最小、最大、既定、今回の値。</t>
        </is>
      </c>
    </row>
    <row r="13" ht="36" customHeight="1">
      <c r="A13" s="5" t="inlineStr">
        <is>
          <t>05_三つの時計 … startPeriod、猶予、ALB のしきい値が、別々の瞬間から動く理由。</t>
        </is>
      </c>
    </row>
    <row r="14" ht="36" customHeight="1">
      <c r="A14" s="5" t="inlineStr">
        <is>
          <t>06_動作原理 … HEALTHY、essential、13133、localhost、失敗したときのタスクの止まり方。</t>
        </is>
      </c>
    </row>
    <row r="15" ht="36" customHeight="1">
      <c r="A15" s="5" t="inlineStr">
        <is>
          <t>07_前提 … 灰色が入力。起動予算、間隔、しきい値、余白。</t>
        </is>
      </c>
    </row>
    <row r="16" ht="36" customHeight="1">
      <c r="A16" s="5" t="inlineStr">
        <is>
          <t>08_計算 … パターンAからEの途中式。安全側と、イメージ取得のあとで時計が始まる側の2列。</t>
        </is>
      </c>
    </row>
    <row r="17" ht="36" customHeight="1">
      <c r="A17" s="5" t="inlineStr">
        <is>
          <t>09_300秒の現場 … 現行300秒の瞬間に、各コンテナがどの状態か。</t>
        </is>
      </c>
    </row>
    <row r="18" ht="36" customHeight="1">
      <c r="A18" s="5" t="inlineStr">
        <is>
          <t>10_パターン比較 … 推奨猶予の一覧と棒グラフ。</t>
        </is>
      </c>
    </row>
    <row r="19" ht="44" customHeight="1">
      <c r="A19" s="5" t="inlineStr">
        <is>
          <t>11_採用設定値 … コンテナごとの interval、timeout、retries、startPeriod、dependsOn、startTimeout。</t>
        </is>
      </c>
    </row>
    <row r="20" ht="36" customHeight="1">
      <c r="A20" s="5" t="inlineStr">
        <is>
          <t>12_取り違え … 猶予、登録解除の遅延、アイドルタイムアウト、スロースタート、Auto Scaling の300秒。</t>
        </is>
      </c>
    </row>
    <row r="21" ht="36" customHeight="1">
      <c r="A21" s="5" t="inlineStr">
        <is>
          <t>13_チェックリスト … デプロイ前に見る順番。</t>
        </is>
      </c>
    </row>
    <row r="22" ht="36" customHeight="1">
      <c r="A22" s="5" t="inlineStr">
        <is>
          <t>14_出典 … 2026-10-07 に確認した公式ページ。</t>
        </is>
      </c>
    </row>
    <row r="23" ht="28" customHeight="1">
      <c r="A23" s="4" t="inlineStr">
        <is>
          <t>セルの見方</t>
        </is>
      </c>
    </row>
    <row r="24" ht="36" customHeight="1">
      <c r="A24" s="5" t="inlineStr">
        <is>
          <t>濃い黒の行は見出しです。白い行は本文か計算結果です。薄い灰の行は入力です。少し濃い灰の行は「不足」や区切りです。</t>
        </is>
      </c>
    </row>
    <row r="25" ht="36" customHeight="1">
      <c r="A25" s="5" t="inlineStr">
        <is>
          <t>数値の単位は秒です。式のセルを消すと再計算が止まります。入力は 07_前提 の C 列だけにしてください。</t>
        </is>
      </c>
    </row>
    <row r="26" ht="36" customHeight="1">
      <c r="A26" s="5" t="inlineStr">
        <is>
          <t>印刷は A3 横、幅1ページ、見出し行を各ページに繰り返します。フォントは Meiryo UI です。</t>
        </is>
      </c>
    </row>
    <row r="27" ht="28" customHeight="1">
      <c r="A27" s="4" t="inlineStr">
        <is>
          <t>2列の意味</t>
        </is>
      </c>
    </row>
    <row r="28" ht="44" customHeight="1">
      <c r="A28" s="5" t="inlineStr">
        <is>
          <t>安全側: イメージ取得とネットワーク準備の秒数 P を、猶予の時計に含めます。登録がタスク開始直後に起きる仮定です。迷ったらこちらを採用します。</t>
        </is>
      </c>
    </row>
    <row r="29" ht="44" customHeight="1">
      <c r="A29" s="5" t="inlineStr">
        <is>
          <t>取得後起算: P を 0 にします。コンテナが動き始めてから猶予の時計が動く場合の値です。公式文は「タスクが開始したあと」と書き、登録は ACTIVATING に含まれる、と別のページにあります。実測でどちらが早いかを見てください。</t>
        </is>
      </c>
    </row>
  </sheetData>
  <mergeCells count="2">
    <mergeCell ref="A2"/>
    <mergeCell ref="A1"/>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読み方</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2.xml><?xml version="1.0" encoding="utf-8"?>
<worksheet xmlns="http://schemas.openxmlformats.org/spreadsheetml/2006/main">
  <sheetPr>
    <tabColor rgb="004A4A4A"/>
    <outlinePr summaryBelow="1" summaryRight="1"/>
    <pageSetUpPr fitToPage="1"/>
  </sheetPr>
  <dimension ref="A1:F29"/>
  <sheetViews>
    <sheetView showGridLines="0" view="normal" zoomScale="110" zoomScaleNormal="110" workbookViewId="0">
      <pane ySplit="3" topLeftCell="A4" activePane="bottomLeft" state="frozen"/>
      <selection pane="bottomLeft" activeCell="A1" sqref="A1"/>
    </sheetView>
  </sheetViews>
  <sheetFormatPr baseColWidth="8" defaultColWidth="12" defaultRowHeight="18"/>
  <cols>
    <col width="34" customWidth="1" min="1" max="1"/>
    <col width="28" customWidth="1" min="2" max="2"/>
    <col width="22" customWidth="1" min="3" max="3"/>
    <col width="22" customWidth="1" min="4" max="4"/>
    <col width="22" customWidth="1" min="5" max="5"/>
    <col width="55" customWidth="1" min="6" max="6"/>
  </cols>
  <sheetData>
    <row r="1" ht="32" customHeight="1">
      <c r="A1" s="1" t="inlineStr">
        <is>
          <t>結論</t>
        </is>
      </c>
      <c r="B1" s="1" t="n"/>
      <c r="C1" s="1" t="n"/>
      <c r="D1" s="1" t="n"/>
      <c r="E1" s="1" t="n"/>
      <c r="F1" s="1" t="n"/>
    </row>
    <row r="2" ht="36" customHeight="1">
      <c r="A2" s="2" t="inlineStr">
        <is>
          <t>210秒の予算のままフロントもバックエンドもHEALTHY待ちにすると、猶予300秒はフロントの準備完了より先に終わります。</t>
        </is>
      </c>
      <c r="B2" s="2" t="n"/>
      <c r="C2" s="2" t="n"/>
      <c r="D2" s="2" t="n"/>
      <c r="E2" s="2" t="n"/>
      <c r="F2" s="2" t="n"/>
    </row>
    <row r="3">
      <c r="A3" s="3" t="n"/>
      <c r="B3" s="3" t="n"/>
      <c r="C3" s="3" t="n"/>
      <c r="D3" s="3" t="n"/>
      <c r="E3" s="3" t="n"/>
      <c r="F3" s="3" t="n"/>
    </row>
    <row r="4" ht="24" customHeight="1">
      <c r="A4" s="6" t="inlineStr">
        <is>
          <t>判断</t>
        </is>
      </c>
      <c r="B4" s="6" t="n"/>
      <c r="C4" s="6" t="n"/>
      <c r="D4" s="6" t="n"/>
      <c r="E4" s="6" t="n"/>
      <c r="F4" s="6" t="n"/>
    </row>
    <row r="5" ht="36" customHeight="1">
      <c r="A5" s="7" t="inlineStr">
        <is>
          <t>要件を両方守る（郵便係が準備できてから厨房、厨房が準備できてからレジ）ならパターンBです。猶予を延ばします。startPeriodは縮めません。</t>
        </is>
      </c>
      <c r="B5" s="8" t="n"/>
      <c r="C5" s="8" t="n"/>
      <c r="D5" s="8" t="n"/>
      <c r="E5" s="8" t="n"/>
      <c r="F5" s="8" t="n"/>
    </row>
    <row r="6" ht="36" customHeight="1">
      <c r="A6" s="9" t="inlineStr">
        <is>
          <t>レジは先に開けて、厨房のAPIはアプリがリトライするならパターンCです。郵便係と厨房のHEALTHY待ちは残せます。</t>
        </is>
      </c>
      <c r="B6" s="9" t="n"/>
      <c r="C6" s="9" t="n"/>
      <c r="D6" s="9" t="n"/>
      <c r="E6" s="9" t="n"/>
      <c r="F6" s="9" t="n"/>
    </row>
    <row r="7" ht="36" customHeight="1">
      <c r="A7" s="10" t="inlineStr">
        <is>
          <t>店を2軒に分けるならパターンDです。レジの時計と厨房の時計が別々になります。</t>
        </is>
      </c>
      <c r="B7" s="10" t="n"/>
      <c r="C7" s="10" t="n"/>
      <c r="D7" s="10" t="n"/>
      <c r="E7" s="10" t="n"/>
      <c r="F7" s="10" t="n"/>
    </row>
    <row r="8" ht="36" customHeight="1">
      <c r="A8" s="9" t="inlineStr">
        <is>
          <t>startPeriodを210より小さくしても、アプリの起動は短くなりません。準備より短い免責は、コンテナをUNHEALTHYにして依存を失敗させます。</t>
        </is>
      </c>
      <c r="B8" s="9" t="n"/>
      <c r="C8" s="9" t="n"/>
      <c r="D8" s="9" t="n"/>
      <c r="E8" s="9" t="n"/>
      <c r="F8" s="9" t="n"/>
    </row>
    <row r="9" ht="36" customHeight="1">
      <c r="A9" s="10" t="inlineStr">
        <is>
          <t>CloudWatch Agent は依存が無いので直列には入りません。ADOTはHEALTHY待ちの先頭に入ります。イメージ取得は全員の前に1回だけ入ります。</t>
        </is>
      </c>
      <c r="B9" s="10" t="n"/>
      <c r="C9" s="10" t="n"/>
      <c r="D9" s="10" t="n"/>
      <c r="E9" s="10" t="n"/>
      <c r="F9" s="10" t="n"/>
    </row>
    <row r="10">
      <c r="A10" s="3" t="n"/>
      <c r="B10" s="3" t="n"/>
      <c r="C10" s="3" t="n"/>
      <c r="D10" s="3" t="n"/>
      <c r="E10" s="3" t="n"/>
      <c r="F10" s="3" t="n"/>
    </row>
    <row r="11" ht="24" customHeight="1">
      <c r="A11" s="6" t="inlineStr">
        <is>
          <t>採用する猶予（07_前提から再計算）</t>
        </is>
      </c>
      <c r="B11" s="6" t="n"/>
      <c r="C11" s="6" t="n"/>
      <c r="D11" s="6" t="n"/>
      <c r="E11" s="6" t="n"/>
      <c r="F11" s="6" t="n"/>
    </row>
    <row r="12" ht="32" customHeight="1">
      <c r="A12" s="11" t="inlineStr">
        <is>
          <t>パターン</t>
        </is>
      </c>
      <c r="B12" s="11" t="inlineStr">
        <is>
          <t>依存</t>
        </is>
      </c>
      <c r="C12" s="11" t="inlineStr">
        <is>
          <t>安全側の最低</t>
        </is>
      </c>
      <c r="D12" s="11" t="inlineStr">
        <is>
          <t>安全側の推奨</t>
        </is>
      </c>
      <c r="E12" s="11" t="inlineStr">
        <is>
          <t>取得後の推奨</t>
        </is>
      </c>
      <c r="F12" s="11" t="inlineStr">
        <is>
          <t>300秒との関係</t>
        </is>
      </c>
    </row>
    <row r="13" ht="36" customHeight="1">
      <c r="A13" s="10" t="inlineStr">
        <is>
          <t>A 並列（現行の形）</t>
        </is>
      </c>
      <c r="B13" s="10" t="inlineStr">
        <is>
          <t>フロントとバックの間は無し</t>
        </is>
      </c>
      <c r="C13" s="12">
        <f>'08_計算'!C21</f>
        <v/>
      </c>
      <c r="D13" s="12">
        <f>'08_計算'!C22</f>
        <v/>
      </c>
      <c r="E13" s="12">
        <f>'08_計算'!D22</f>
        <v/>
      </c>
      <c r="F13" s="10" t="inlineStr">
        <is>
          <t>推奨ALB（間隔10、健全2）に変えた場合</t>
        </is>
      </c>
    </row>
    <row r="14" ht="36" customHeight="1">
      <c r="A14" s="9" t="inlineStr">
        <is>
          <t>A 並列＋現行ALB</t>
        </is>
      </c>
      <c r="B14" s="9" t="inlineStr">
        <is>
          <t>依存なし。ALBは既定のまま</t>
        </is>
      </c>
      <c r="C14" s="13">
        <f>'08_計算'!C25</f>
        <v/>
      </c>
      <c r="D14" s="13">
        <f>'08_計算'!C26</f>
        <v/>
      </c>
      <c r="E14" s="13">
        <f>'08_計算'!D26</f>
        <v/>
      </c>
      <c r="F14" s="9" t="inlineStr">
        <is>
          <t>間隔30、健全5のまま、起動中に故障札になる場合</t>
        </is>
      </c>
    </row>
    <row r="15" ht="44" customHeight="1">
      <c r="A15" s="14" t="inlineStr">
        <is>
          <t>B 全直列</t>
        </is>
      </c>
      <c r="B15" s="14" t="inlineStr">
        <is>
          <t>ADOT HEALTHY → BE HEALTHY → FE</t>
        </is>
      </c>
      <c r="C15" s="15">
        <f>'08_計算'!C34</f>
        <v/>
      </c>
      <c r="D15" s="15">
        <f>'08_計算'!C35</f>
        <v/>
      </c>
      <c r="E15" s="15">
        <f>'08_計算'!D35</f>
        <v/>
      </c>
      <c r="F15" s="14" t="inlineStr">
        <is>
          <t>相談の依存を全部入れる場合。300秒では不足</t>
        </is>
      </c>
    </row>
    <row r="16" ht="36" customHeight="1">
      <c r="A16" s="16" t="inlineStr">
        <is>
          <t>B 全直列＋現行ALB</t>
        </is>
      </c>
      <c r="B16" s="16" t="inlineStr">
        <is>
          <t>同じ直列。ALBは既定</t>
        </is>
      </c>
      <c r="C16" s="17">
        <f>'08_計算'!C37</f>
        <v/>
      </c>
      <c r="D16" s="17">
        <f>'08_計算'!C38</f>
        <v/>
      </c>
      <c r="E16" s="17">
        <f>'08_計算'!D38</f>
        <v/>
      </c>
      <c r="F16" s="16" t="inlineStr">
        <is>
          <t>最も長い。既定ALBの復帰が上乗せされる</t>
        </is>
      </c>
    </row>
    <row r="17" ht="44" customHeight="1">
      <c r="A17" s="10" t="inlineStr">
        <is>
          <t>C 折衷</t>
        </is>
      </c>
      <c r="B17" s="10" t="inlineStr">
        <is>
          <t>BEだけADOTを待つ。FEは待たない</t>
        </is>
      </c>
      <c r="C17" s="12">
        <f>'08_計算'!C44</f>
        <v/>
      </c>
      <c r="D17" s="12">
        <f>'08_計算'!C45</f>
        <v/>
      </c>
      <c r="E17" s="12">
        <f>'08_計算'!D45</f>
        <v/>
      </c>
      <c r="F17" s="10" t="inlineStr">
        <is>
          <t>トレースは守る。フロントはAPIをリトライする</t>
        </is>
      </c>
    </row>
    <row r="18" ht="36" customHeight="1">
      <c r="A18" s="9" t="inlineStr">
        <is>
          <t>D フロントサービス</t>
        </is>
      </c>
      <c r="B18" s="9" t="inlineStr">
        <is>
          <t>サービス分割。フロント単独</t>
        </is>
      </c>
      <c r="C18" s="13">
        <f>'08_計算'!C47</f>
        <v/>
      </c>
      <c r="D18" s="13">
        <f>'08_計算'!C48</f>
        <v/>
      </c>
      <c r="E18" s="13">
        <f>'08_計算'!D48</f>
        <v/>
      </c>
      <c r="F18" s="9" t="inlineStr">
        <is>
          <t>フロントの時計だけ</t>
        </is>
      </c>
    </row>
    <row r="19" ht="36" customHeight="1">
      <c r="A19" s="10" t="inlineStr">
        <is>
          <t>D バックエンドサービス</t>
        </is>
      </c>
      <c r="B19" s="10" t="inlineStr">
        <is>
          <t>サービス分割。内部ALBあり</t>
        </is>
      </c>
      <c r="C19" s="12">
        <f>'08_計算'!C51</f>
        <v/>
      </c>
      <c r="D19" s="12">
        <f>'08_計算'!C52</f>
        <v/>
      </c>
      <c r="E19" s="12">
        <f>'08_計算'!D52</f>
        <v/>
      </c>
      <c r="F19" s="10" t="inlineStr">
        <is>
          <t>ALBが無ければ猶予は主役にならない</t>
        </is>
      </c>
    </row>
    <row r="20" ht="36" customHeight="1">
      <c r="A20" s="9" t="inlineStr">
        <is>
          <t>E 短い起動の例</t>
        </is>
      </c>
      <c r="B20" s="9" t="inlineStr">
        <is>
          <t>直列。例の入力</t>
        </is>
      </c>
      <c r="C20" s="13">
        <f>'08_計算'!C58</f>
        <v/>
      </c>
      <c r="D20" s="13">
        <f>'08_計算'!C59</f>
        <v/>
      </c>
      <c r="E20" s="13">
        <f>'08_計算'!D59</f>
        <v/>
      </c>
      <c r="F20" s="9" t="inlineStr">
        <is>
          <t>実測が短ければ直列でも300秒に収まる</t>
        </is>
      </c>
    </row>
    <row r="21">
      <c r="A21" s="3" t="n"/>
      <c r="B21" s="3" t="n"/>
      <c r="C21" s="3" t="n"/>
      <c r="D21" s="3" t="n"/>
      <c r="E21" s="3" t="n"/>
      <c r="F21" s="3" t="n"/>
    </row>
    <row r="22" ht="24" customHeight="1">
      <c r="A22" s="6" t="inlineStr">
        <is>
          <t>コンテナに書く値（本番予算）</t>
        </is>
      </c>
      <c r="B22" s="6" t="n"/>
      <c r="C22" s="6" t="n"/>
      <c r="D22" s="6" t="n"/>
      <c r="E22" s="6" t="n"/>
      <c r="F22" s="6" t="n"/>
    </row>
    <row r="23" ht="32" customHeight="1">
      <c r="A23" s="11" t="inlineStr">
        <is>
          <t>コンテナ</t>
        </is>
      </c>
      <c r="B23" s="11" t="inlineStr">
        <is>
          <t>essential</t>
        </is>
      </c>
      <c r="C23" s="11" t="inlineStr">
        <is>
          <t>dependsOn</t>
        </is>
      </c>
      <c r="D23" s="11" t="inlineStr">
        <is>
          <t>startPeriod</t>
        </is>
      </c>
      <c r="E23" s="11" t="inlineStr">
        <is>
          <t>interval / timeout / retries</t>
        </is>
      </c>
      <c r="F23" s="11" t="inlineStr">
        <is>
          <t>startTimeout</t>
        </is>
      </c>
    </row>
    <row r="24" ht="40" customHeight="1">
      <c r="A24" s="10" t="inlineStr">
        <is>
          <t>ADOT Collector</t>
        </is>
      </c>
      <c r="B24" s="10" t="inlineStr">
        <is>
          <t>true</t>
        </is>
      </c>
      <c r="C24" s="10" t="inlineStr">
        <is>
          <t>なし（先頭）</t>
        </is>
      </c>
      <c r="D24" s="12">
        <f>'08_計算'!C10</f>
        <v/>
      </c>
      <c r="E24" s="10" t="inlineStr">
        <is>
          <t>5 / 2 / 5</t>
        </is>
      </c>
      <c r="F24" s="12">
        <f>'08_計算'!C14</f>
        <v/>
      </c>
    </row>
    <row r="25" ht="44" customHeight="1">
      <c r="A25" s="9" t="inlineStr">
        <is>
          <t>バックエンド</t>
        </is>
      </c>
      <c r="B25" s="9" t="inlineStr">
        <is>
          <t>true</t>
        </is>
      </c>
      <c r="C25" s="9" t="inlineStr">
        <is>
          <t>ADOT が HEALTHY</t>
        </is>
      </c>
      <c r="D25" s="13">
        <f>'08_計算'!C11</f>
        <v/>
      </c>
      <c r="E25" s="9" t="inlineStr">
        <is>
          <t>10 / 5 / 3</t>
        </is>
      </c>
      <c r="F25" s="9" t="inlineStr">
        <is>
          <t>空欄（待ちが120秒を超える）</t>
        </is>
      </c>
    </row>
    <row r="26" ht="60" customHeight="1">
      <c r="A26" s="10" t="inlineStr">
        <is>
          <t>フロントエンド</t>
        </is>
      </c>
      <c r="B26" s="10" t="inlineStr">
        <is>
          <t>true</t>
        </is>
      </c>
      <c r="C26" s="10" t="inlineStr">
        <is>
          <t>パターンBならバックエンドが HEALTHY。Cなら無し</t>
        </is>
      </c>
      <c r="D26" s="12">
        <f>'08_計算'!C12</f>
        <v/>
      </c>
      <c r="E26" s="10" t="inlineStr">
        <is>
          <t>10 / 5 / 3</t>
        </is>
      </c>
      <c r="F26" s="10" t="inlineStr">
        <is>
          <t>空欄</t>
        </is>
      </c>
    </row>
    <row r="27" ht="40" customHeight="1">
      <c r="A27" s="9" t="inlineStr">
        <is>
          <t>CloudWatch Agent</t>
        </is>
      </c>
      <c r="B27" s="9" t="inlineStr">
        <is>
          <t>false</t>
        </is>
      </c>
      <c r="C27" s="9" t="inlineStr">
        <is>
          <t>なし</t>
        </is>
      </c>
      <c r="D27" s="13">
        <f>'08_計算'!C13</f>
        <v/>
      </c>
      <c r="E27" s="9" t="inlineStr">
        <is>
          <t>30 / 5 / 3</t>
        </is>
      </c>
      <c r="F27" s="9" t="inlineStr">
        <is>
          <t>空欄</t>
        </is>
      </c>
    </row>
    <row r="28">
      <c r="A28" s="3" t="n"/>
      <c r="B28" s="3" t="n"/>
      <c r="C28" s="3" t="n"/>
      <c r="D28" s="3" t="n"/>
      <c r="E28" s="3" t="n"/>
      <c r="F28" s="3" t="n"/>
    </row>
    <row r="29" ht="48" customHeight="1">
      <c r="A29" s="7" t="inlineStr">
        <is>
          <t>ALBターゲットグループ（フロントのポート）: 間隔10秒、タイムアウト5秒、健全しきい値2、不健全しきい値3、成功コード200、パスは準備完了URL、スロースタート0。登録解除の遅延300秒は閉店時の設定なので、この起動問題の解ではありません。</t>
        </is>
      </c>
      <c r="B29" s="8" t="n"/>
      <c r="C29" s="8" t="n"/>
      <c r="D29" s="8" t="n"/>
      <c r="E29" s="8" t="n"/>
      <c r="F29" s="8" t="n"/>
    </row>
  </sheetData>
  <mergeCells count="11">
    <mergeCell ref="A2:F2"/>
    <mergeCell ref="A11:F11"/>
    <mergeCell ref="A1:F1"/>
    <mergeCell ref="A5:F5"/>
    <mergeCell ref="A9:F9"/>
    <mergeCell ref="A8:F8"/>
    <mergeCell ref="A6:F6"/>
    <mergeCell ref="A22:F22"/>
    <mergeCell ref="A4:F4"/>
    <mergeCell ref="A29:F29"/>
    <mergeCell ref="A7:F7"/>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結論</oddHeader>
    <oddFooter>&amp;L&amp;"Meiryo UI"&amp;8 前提シートの灰色セルを実測に置き換えると、計算シート以降が再計算される&amp;R&amp;"Meiryo UI"&amp;8 2026-10-07 時点の公開仕様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A4A4A"/>
    <outlinePr summaryBelow="1" summaryRight="1"/>
    <pageSetUpPr fitToPage="1"/>
  </sheetPr>
  <dimension ref="A1:A20"/>
  <sheetViews>
    <sheetView showGridLines="0" view="normal" zoomScale="110" zoomScaleNormal="110" workbookViewId="0">
      <pane ySplit="3" topLeftCell="A4" activePane="bottomLeft" state="frozen"/>
      <selection pane="bottomLeft" activeCell="A1" sqref="A1"/>
    </sheetView>
  </sheetViews>
  <sheetFormatPr baseColWidth="8" defaultColWidth="12" defaultRowHeight="18"/>
  <cols>
    <col width="120" customWidth="1" min="1" max="1"/>
  </cols>
  <sheetData>
    <row r="1" ht="32" customHeight="1">
      <c r="A1" s="1" t="inlineStr">
        <is>
          <t>02_たとえ話</t>
        </is>
      </c>
    </row>
    <row r="2" ht="36" customHeight="1">
      <c r="A2" s="2" t="inlineStr">
        <is>
          <t>名前を覚える前に、時計が3つあることだけ見ます。</t>
        </is>
      </c>
    </row>
    <row r="3">
      <c r="A3" s="3" t="n"/>
    </row>
    <row r="4" ht="26" customHeight="1">
      <c r="A4" s="18" t="inlineStr">
        <is>
          <t>1軒の店</t>
        </is>
      </c>
    </row>
    <row r="5" ht="44" customHeight="1">
      <c r="A5" s="5" t="inlineStr">
        <is>
          <t>1つのタスクは、1軒の店です。同じ建物の中に、レジ（フロント）、厨房（バックエンド）、郵便係（ADOT Collector）、記録係（CloudWatch Agent）がいます。</t>
        </is>
      </c>
    </row>
    <row r="6" ht="44" customHeight="1">
      <c r="A6" s="5" t="inlineStr">
        <is>
          <t>通りの案内人（ALB）は、レジの電気が点いているかをノックして確かめます。点いていなければ、客をその店に案内しません。店長（ECSのスケジューラ）は、案内人が「閉まっている」と言い続けると、猶予のあと店を畳んで、新しい店を出します。</t>
        </is>
      </c>
    </row>
    <row r="7" ht="44" customHeight="1">
      <c r="A7" s="5" t="inlineStr">
        <is>
          <t>郵便係は、厨房が出したトレースという手紙を受け取って、外へ送ります。郵便受けの準備ができる前に投げられた手紙は、床に落ちて消えます。記録係は温度のメモを取ります。記録係が休んでも、店は開けたままにできます。</t>
        </is>
      </c>
    </row>
    <row r="8" ht="26" customHeight="1">
      <c r="A8" s="18" t="inlineStr">
        <is>
          <t>体温計と、案内人のノック</t>
        </is>
      </c>
    </row>
    <row r="9" ht="44" customHeight="1">
      <c r="A9" s="5" t="inlineStr">
        <is>
          <t>各人の体温計が、コンテナヘルスチェックです。終了コード0なら元気、0以外なら失敗です。案内人のノックは、外からレジの扉を叩くALBのヘルスチェックです。体温計は建物の中、ノックは通り側です。</t>
        </is>
      </c>
    </row>
    <row r="10" ht="62" customHeight="1">
      <c r="A10" s="5" t="inlineStr">
        <is>
          <t>体温計の成功は1回で「起きた」になります。retries は、何回連続で失敗したら「病気」にするか、です。案内人の健全しきい値は、一度「故障」の札がかかった店を、何回連続で成功したら案内先に戻すか、です。新しい店の最初の成功は1回で足ります。起動が長くて先に故障札がかかると、そこから戻すのにしきい値の回数がいります。</t>
        </is>
      </c>
    </row>
    <row r="11" ht="26" customHeight="1">
      <c r="A11" s="18" t="inlineStr">
        <is>
          <t>寝ぼけ免責と、店長の見逃し</t>
        </is>
      </c>
    </row>
    <row r="12" ht="44" customHeight="1">
      <c r="A12" s="5" t="inlineStr">
        <is>
          <t>startPeriod は、その人の寝ぼけ免責です。免責のあいだの失敗は、病気の回数に数えません。免責が終わるまで起きられない、という意味ではありません。早く検査に受かれば、その瞬間に次の人を起こせます。</t>
        </is>
      </c>
    </row>
    <row r="13" ht="44" customHeight="1">
      <c r="A13" s="5" t="inlineStr">
        <is>
          <t>猶予（healthCheckGracePeriodSeconds）は、店長が赤札を見ても店を畳まない時間です。案内人は最初の瞬間からノックしています。300秒経ってノックを始めるのではありません。300秒で終わるのは、見逃しです。</t>
        </is>
      </c>
    </row>
    <row r="14" ht="26" customHeight="1">
      <c r="A14" s="18" t="inlineStr">
        <is>
          <t>起こす順番</t>
        </is>
      </c>
    </row>
    <row r="15" ht="44" customHeight="1">
      <c r="A15" s="5" t="inlineStr">
        <is>
          <t>depends_on の HEALTHY は、「相手が体温計に受かるまで、自分は布団から出ない」です。郵便係が受かってから厨房が起き、厨房が受かってからレジが起きます。</t>
        </is>
      </c>
    </row>
    <row r="16" ht="44" customHeight="1">
      <c r="A16" s="5" t="inlineStr">
        <is>
          <t>店長の時計は、店を開け始めたときに1つだけ動き出します。レジの免責時計は、レジが布団から出てから動き出します。厨房が長いあいだ起きないと、店長の300秒が先に終わります。レジは布団から出たばかりで、案内人のノックはもう見逃してもらえません。</t>
        </is>
      </c>
    </row>
    <row r="17" ht="44" customHeight="1">
      <c r="A17" s="5" t="inlineStr">
        <is>
          <t>終了のときは順番が逆です。レジが閉まってから厨房が止まり、厨房が止まってから郵便係が止まります。手紙を出し終えてから郵便係が帰れる、という形になります。</t>
        </is>
      </c>
    </row>
    <row r="18" ht="26" customHeight="1">
      <c r="A18" s="18" t="inlineStr">
        <is>
          <t>記録係と、荷物の受け取り</t>
        </is>
      </c>
    </row>
    <row r="19" ht="44" customHeight="1">
      <c r="A19" s="5" t="inlineStr">
        <is>
          <t>記録係は順番の外です。店の開店時間には足されません。ただし、同じ建物の電気（CPU）を起動時に使うので、厨房とレジの実測は、記録係がいる状態で測ります。</t>
        </is>
      </c>
    </row>
    <row r="20" ht="44" customHeight="1">
      <c r="A20" s="5" t="inlineStr">
        <is>
          <t>荷物（コンテナイメージ）の受け取りは、4人が順番に受け取るのではありません。開店前に、まとめて1回です。この受け取りが店長の時計に含まれるかは、登録の時刻で変わります。含まれる仮定が安全側、含まれない仮定が取得後起算です。</t>
        </is>
      </c>
    </row>
  </sheetData>
  <mergeCells count="2">
    <mergeCell ref="A2"/>
    <mergeCell ref="A1"/>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02_たとえ話</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4.xml><?xml version="1.0" encoding="utf-8"?>
<worksheet xmlns="http://schemas.openxmlformats.org/spreadsheetml/2006/main">
  <sheetPr>
    <tabColor rgb="004A4A4A"/>
    <outlinePr summaryBelow="1" summaryRight="1"/>
    <pageSetUpPr fitToPage="1"/>
  </sheetPr>
  <dimension ref="A1:A31"/>
  <sheetViews>
    <sheetView showGridLines="0" view="normal" zoomScale="110" zoomScaleNormal="110" workbookViewId="0">
      <pane ySplit="3" topLeftCell="A4" activePane="bottomLeft" state="frozen"/>
      <selection pane="bottomLeft" activeCell="A1" sqref="A1"/>
    </sheetView>
  </sheetViews>
  <sheetFormatPr baseColWidth="8" defaultColWidth="12" defaultRowHeight="18"/>
  <cols>
    <col width="120" customWidth="1" min="1" max="1"/>
  </cols>
  <sheetData>
    <row r="1" ht="32" customHeight="1">
      <c r="A1" s="1" t="inlineStr">
        <is>
          <t>03_歴史</t>
        </is>
      </c>
    </row>
    <row r="2" ht="36" customHeight="1">
      <c r="A2" s="2" t="inlineStr">
        <is>
          <t>それぞれのつまみは、別の事故を止めるために、別の年に入りました。</t>
        </is>
      </c>
    </row>
    <row r="3">
      <c r="A3" s="3" t="n"/>
    </row>
    <row r="4" ht="26" customHeight="1">
      <c r="A4" s="18" t="inlineStr">
        <is>
          <t>案内人が先にいた</t>
        </is>
      </c>
    </row>
    <row r="5" ht="44" customHeight="1">
      <c r="A5" s="5" t="inlineStr">
        <is>
          <t>2009年、Classic Load Balancer が案内人として登場しました。サーバーが応答するかを見て、死んでいるサーバーへ客を送らないためです。コンテナはまだ主流ではありません。</t>
        </is>
      </c>
    </row>
    <row r="6" ht="44" customHeight="1">
      <c r="A6" s="5" t="inlineStr">
        <is>
          <t>2013年に Docker が広まり、2014年11月に Amazon ECS のプレビュー、2015年4月9日に一般提供が始まりました。箱をたくさん並べる係がAWS側にできた、という段階です。</t>
        </is>
      </c>
    </row>
    <row r="7" ht="26" customHeight="1">
      <c r="A7" s="18" t="inlineStr">
        <is>
          <t>体温計</t>
        </is>
      </c>
    </row>
    <row r="8" ht="44" customHeight="1">
      <c r="A8" s="5" t="inlineStr">
        <is>
          <t>2016年7月の Docker 1.12 で、箱の中に HEALTHCHECK を書けるようになりました。終了コードで元気かどうかを見る、いまのコンテナ検査の元です。</t>
        </is>
      </c>
    </row>
    <row r="9" ht="62" customHeight="1">
      <c r="A9" s="5" t="inlineStr">
        <is>
          <t>2017年5月の Docker Engine 17.05 で、health start period が入りました。Java のように起動が遅い箱が、起動中の失敗だけで「病気」になり、すぐ作り直される事故を止めるためです。ECSの startPeriod はこの考え方を、0〜300秒の範囲でタスク定義に置いたものです。</t>
        </is>
      </c>
    </row>
    <row r="10" ht="26" customHeight="1">
      <c r="A10" s="18" t="inlineStr">
        <is>
          <t>案内人が扉を区別できるようになった</t>
        </is>
      </c>
    </row>
    <row r="11" ht="44" customHeight="1">
      <c r="A11" s="5" t="inlineStr">
        <is>
          <t>2016年8月11日に Application Load Balancer が登場し、パスとターゲットグループで、どの扉を叩くかを指定できるようになりました。ECSのサービスは、このターゲットグループへタスクを登録します。</t>
        </is>
      </c>
    </row>
    <row r="12" ht="44" customHeight="1">
      <c r="A12" s="5" t="inlineStr">
        <is>
          <t>登録された直後からノックは始まります。アプリがまだ listen していないと接続は拒否され、不健全しきい値まで失敗すると故障札になります。</t>
        </is>
      </c>
    </row>
    <row r="13" ht="26" customHeight="1">
      <c r="A13" s="18" t="inlineStr">
        <is>
          <t>店長の見逃し</t>
        </is>
      </c>
    </row>
    <row r="14" ht="44" customHeight="1">
      <c r="A14" s="5" t="inlineStr">
        <is>
          <t>2017年12月27日、ECSに ELB ヘルスチェックの猶予期間が入りました。起動が遅いタスクを、案内人の赤札ですぐ止めてしまう事故が理由です。発表当時の対象は ELB の結果です。</t>
        </is>
      </c>
    </row>
    <row r="15" ht="44" customHeight="1">
      <c r="A15" s="5" t="inlineStr">
        <is>
          <t>2026年10月時点の API 説明は、タスク開始後に、Elastic Load Balancing、VPC Lattice、コンテナヘルスチェックの異常を、スケジューラが無視する、と書いています。範囲は 0 から 2,147,483,647 秒、既定は 0 です。</t>
        </is>
      </c>
    </row>
    <row r="16" ht="62" customHeight="1">
      <c r="A16" s="5" t="inlineStr">
        <is>
          <t>見逃しているあいだもノックは続き、ターゲットは unhealthy になり得ます。UnHealthyHostCount も増え得ます。客は原則、故障札の店へは案内されません。ただし、そのターゲットグループの全ターゲットが unhealthy のとき、ALB はフェイルオープンで、その店にもリクエストを送ることがあります。タスクが1個だけのサービスで起きます。</t>
        </is>
      </c>
    </row>
    <row r="17" ht="26" customHeight="1">
      <c r="A17" s="18" t="inlineStr">
        <is>
          <t>Fargate と、同じ建物の localhost</t>
        </is>
      </c>
    </row>
    <row r="18" ht="62" customHeight="1">
      <c r="A18" s="5" t="inlineStr">
        <is>
          <t>2017年11月29日に Fargate が登場し、サーバーの管理なしでタスクを動かせるようになりました。同じ月に awsvpc が整い、タスクが自分のネットワークインターフェースを持ちます。同じタスクのコンテナは localhost で話せます。厨房から郵便係へは 127.0.0.1 の 4317 や 4318 です。</t>
        </is>
      </c>
    </row>
    <row r="19" ht="62" customHeight="1">
      <c r="A19" s="5" t="inlineStr">
        <is>
          <t>2018年3月8日、ECSがコンテナヘルスチェックとタスクヘルスをサービスへつなぎました。2018年3月26日の Fargate プラットフォーム 1.1.0 で、Fargate でも使えるようになりました。Dockerfile に書いてあるだけの HEALTHCHECK は、タスク定義へ書かないと ECS は見ません。</t>
        </is>
      </c>
    </row>
    <row r="20" ht="26" customHeight="1">
      <c r="A20" s="18" t="inlineStr">
        <is>
          <t>起こす順番</t>
        </is>
      </c>
    </row>
    <row r="21" ht="44" customHeight="1">
      <c r="A21" s="5" t="inlineStr">
        <is>
          <t>2019年3月7日、コンテナの依存関係と、コンテナごとの startTimeout、stopTimeout が入りました。それまで、サイドカーより先にアプリが起きて手紙を捨てる、初期化が終わる前に本体が動く、という順番を指定できませんでした。</t>
        </is>
      </c>
    </row>
    <row r="22" ht="80" customHeight="1">
      <c r="A22" s="5" t="inlineStr">
        <is>
          <t>条件は START、COMPLETE、SUCCESS、HEALTHY です。COMPLETE と SUCCESS は essential なコンテナには付けられません。郵便係も厨房も essential なので、使えるのは START か HEALTHY です。HEALTHY は起動のときだけ確認されます。Fargate Linux ではプラットフォーム 1.3.0 以降です。startTimeout を書く場合の値は 2〜120 秒です。</t>
        </is>
      </c>
    </row>
    <row r="23" ht="26" customHeight="1">
      <c r="A23" s="18" t="inlineStr">
        <is>
          <t>郵便係の13133</t>
        </is>
      </c>
    </row>
    <row r="24" ht="62" customHeight="1">
      <c r="A24" s="5" t="inlineStr">
        <is>
          <t>2019年、OpenTracing と OpenCensus をまとめる OpenTelemetry が CNCF で進みました。コレクタの health_check 拡張は、既定で 13133 番を聞きます。有名な IANA ポートではなく、80、443、8080、OTLP の 4317 と 4318、メトリクスの 8888 とぶつからない既定値です。</t>
        </is>
      </c>
    </row>
    <row r="25" ht="62" customHeight="1">
      <c r="A25" s="5" t="inlineStr">
        <is>
          <t>2020年に AWS Distro for OpenTelemetry が公開され、ECS ではサイドカーとして載せます。イメージにある /healthcheck が、この 13133 をローカルで叩きます。カスタム設定から health_check 拡張を外すと、検査は成功せず、HEALTHY 待ちの厨房は起動しません。</t>
        </is>
      </c>
    </row>
    <row r="26" ht="26" customHeight="1">
      <c r="A26" s="18" t="inlineStr">
        <is>
          <t>その後のタスクの止め方</t>
        </is>
      </c>
    </row>
    <row r="27" ht="62" customHeight="1">
      <c r="A27" s="5" t="inlineStr">
        <is>
          <t>2023年10月20日以降、ECSは可能なら maximumPercent の範囲で、異常タスクを止める前に代わりを起動します。猶予を長くしても、異常の置き換え方が「即ゼロ台」だけ、ではなくなっています。同じ遅い設定の代わりが連続で失敗すると、デプロイサーキットブレーカーが止める役になります。</t>
        </is>
      </c>
    </row>
    <row r="28" ht="44" customHeight="1">
      <c r="A28" s="5" t="inlineStr">
        <is>
          <t>2026年1月30日、コンテナヘルスの状態が CloudWatch Container Insights のメトリクスとしても出るようになりました。HEALTHY が 0、UNHEALTHY が 1 です。猶予の設計そのものは変わりません。</t>
        </is>
      </c>
    </row>
    <row r="29" ht="26" customHeight="1">
      <c r="A29" s="18" t="inlineStr">
        <is>
          <t>300という数字がいくつもある理由</t>
        </is>
      </c>
    </row>
    <row r="30" ht="44" customHeight="1">
      <c r="A30" s="5" t="inlineStr">
        <is>
          <t>Auto Scaling グループのヘルスチェック猶予は、コンソールで作ると既定300秒です。ALBターゲットグループの登録解除遅延も既定300秒です。コンテナの startPeriod の上限も300秒です。ECSサービスの猶予の既定は 0 で、300ではありません。</t>
        </is>
      </c>
    </row>
    <row r="31" ht="44" customHeight="1">
      <c r="A31" s="5" t="inlineStr">
        <is>
          <t>画面の隣同士が同じ300秒なので、起動の見逃しと、閉店後の接続排出と、免責の上限が、1つの「グレースタイムアウト」に見えやすくなっています。この設計書では、それらを別の行に分けています。</t>
        </is>
      </c>
    </row>
  </sheetData>
  <mergeCells count="2">
    <mergeCell ref="A2"/>
    <mergeCell ref="A1"/>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03_歴史</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5.xml><?xml version="1.0" encoding="utf-8"?>
<worksheet xmlns="http://schemas.openxmlformats.org/spreadsheetml/2006/main">
  <sheetPr>
    <tabColor rgb="004A4A4A"/>
    <outlinePr summaryBelow="1" summaryRight="1"/>
    <pageSetUpPr fitToPage="1"/>
  </sheetPr>
  <dimension ref="A1:G25"/>
  <sheetViews>
    <sheetView showGridLines="0" view="normal" zoomScale="110" zoomScaleNormal="110" workbookViewId="0">
      <pane ySplit="4" topLeftCell="A5" activePane="bottomLeft" state="frozen"/>
      <selection pane="bottomLeft" activeCell="A1" sqref="A1"/>
    </sheetView>
  </sheetViews>
  <sheetFormatPr baseColWidth="8" defaultColWidth="12" defaultRowHeight="18"/>
  <cols>
    <col width="28" customWidth="1" min="1" max="1"/>
    <col width="46" customWidth="1" min="2" max="2"/>
    <col width="28" customWidth="1" min="3" max="3"/>
    <col width="28" customWidth="1" min="4" max="4"/>
    <col width="18" customWidth="1" min="5" max="5"/>
    <col width="22" customWidth="1" min="6" max="6"/>
    <col width="55" customWidth="1" min="7" max="7"/>
  </cols>
  <sheetData>
    <row r="1" ht="32" customHeight="1">
      <c r="A1" s="1" t="inlineStr">
        <is>
          <t>設定できる範囲</t>
        </is>
      </c>
      <c r="B1" s="1" t="n"/>
      <c r="C1" s="1" t="n"/>
      <c r="D1" s="1" t="n"/>
      <c r="E1" s="1" t="n"/>
      <c r="F1" s="1" t="n"/>
      <c r="G1" s="1" t="n"/>
    </row>
    <row r="2" ht="36" customHeight="1">
      <c r="A2" s="2" t="inlineStr">
        <is>
          <t>2026-10-07 に公式APIとユーザーガイドで確認した範囲です。製品の更新で変わるので、変更前にもう一度コンソールのエラーメッセージを見てください。</t>
        </is>
      </c>
      <c r="B2" s="2" t="n"/>
      <c r="C2" s="2" t="n"/>
      <c r="D2" s="2" t="n"/>
      <c r="E2" s="2" t="n"/>
      <c r="F2" s="2" t="n"/>
      <c r="G2" s="2" t="n"/>
    </row>
    <row r="3">
      <c r="A3" s="3" t="n"/>
      <c r="B3" s="3" t="n"/>
      <c r="C3" s="3" t="n"/>
      <c r="D3" s="3" t="n"/>
      <c r="E3" s="3" t="n"/>
      <c r="F3" s="3" t="n"/>
      <c r="G3" s="3" t="n"/>
    </row>
    <row r="4" ht="32" customHeight="1">
      <c r="A4" s="11" t="inlineStr">
        <is>
          <t>場所</t>
        </is>
      </c>
      <c r="B4" s="11" t="inlineStr">
        <is>
          <t>パラメータ</t>
        </is>
      </c>
      <c r="C4" s="11" t="inlineStr">
        <is>
          <t>指定できる範囲</t>
        </is>
      </c>
      <c r="D4" s="11" t="inlineStr">
        <is>
          <t>既定</t>
        </is>
      </c>
      <c r="E4" s="11" t="inlineStr">
        <is>
          <t>今回の値</t>
        </is>
      </c>
      <c r="F4" s="11" t="inlineStr">
        <is>
          <t>時計の起点</t>
        </is>
      </c>
      <c r="G4" s="11" t="inlineStr">
        <is>
          <t>実際に何が起きるか</t>
        </is>
      </c>
    </row>
    <row r="5" ht="48" customHeight="1">
      <c r="A5" s="10" t="inlineStr">
        <is>
          <t>ECSサービス</t>
        </is>
      </c>
      <c r="B5" s="10" t="inlineStr">
        <is>
          <t>healthCheckGracePeriodSeconds</t>
        </is>
      </c>
      <c r="C5" s="10" t="inlineStr">
        <is>
          <t>0 〜 2,147,483,647 秒</t>
        </is>
      </c>
      <c r="D5" s="10" t="inlineStr">
        <is>
          <t>0</t>
        </is>
      </c>
      <c r="E5" s="10" t="inlineStr">
        <is>
          <t>パターン別。Bの安全側は計算シート</t>
        </is>
      </c>
      <c r="F5" s="10" t="inlineStr">
        <is>
          <t>タスク開始後</t>
        </is>
      </c>
      <c r="G5" s="10" t="inlineStr">
        <is>
          <t>ELB、VPC Lattice、コンテナ検査の異常を、スケジューラが無視する。検査は止まらない。</t>
        </is>
      </c>
    </row>
    <row r="6" ht="60" customHeight="1">
      <c r="A6" s="9" t="inlineStr">
        <is>
          <t>コンテナ</t>
        </is>
      </c>
      <c r="B6" s="9" t="inlineStr">
        <is>
          <t>healthCheck.command</t>
        </is>
      </c>
      <c r="C6" s="9" t="inlineStr">
        <is>
          <t>先頭が CMD または CMD-SHELL</t>
        </is>
      </c>
      <c r="D6" s="9" t="inlineStr">
        <is>
          <t>必須（検査を書くとき）</t>
        </is>
      </c>
      <c r="E6" s="9" t="inlineStr">
        <is>
          <t>ADOTは CMD /healthcheck</t>
        </is>
      </c>
      <c r="F6" s="9" t="inlineStr">
        <is>
          <t>そのコンテナ</t>
        </is>
      </c>
      <c r="G6" s="9" t="inlineStr">
        <is>
          <t>終了コード0が成功。コマンドはイメージの中に存在する必要がある。</t>
        </is>
      </c>
    </row>
    <row r="7" ht="48" customHeight="1">
      <c r="A7" s="10" t="inlineStr">
        <is>
          <t>コンテナ</t>
        </is>
      </c>
      <c r="B7" s="10" t="inlineStr">
        <is>
          <t>healthCheck.interval</t>
        </is>
      </c>
      <c r="C7" s="10" t="inlineStr">
        <is>
          <t>5 〜 300 秒</t>
        </is>
      </c>
      <c r="D7" s="10" t="inlineStr">
        <is>
          <t>30</t>
        </is>
      </c>
      <c r="E7" s="10" t="inlineStr">
        <is>
          <t>ADOT 5、アプリ 10、CW 30</t>
        </is>
      </c>
      <c r="F7" s="10" t="inlineStr">
        <is>
          <t>プロセス開始</t>
        </is>
      </c>
      <c r="G7" s="10" t="inlineStr">
        <is>
          <t>最初の検査も、開始からこの秒数後。以降もこの間隔。</t>
        </is>
      </c>
    </row>
    <row r="8" ht="48" customHeight="1">
      <c r="A8" s="9" t="inlineStr">
        <is>
          <t>コンテナ</t>
        </is>
      </c>
      <c r="B8" s="9" t="inlineStr">
        <is>
          <t>healthCheck.timeout</t>
        </is>
      </c>
      <c r="C8" s="9" t="inlineStr">
        <is>
          <t>2 〜 60 秒</t>
        </is>
      </c>
      <c r="D8" s="9" t="inlineStr">
        <is>
          <t>5</t>
        </is>
      </c>
      <c r="E8" s="9" t="inlineStr">
        <is>
          <t>ADOT 2、他 5</t>
        </is>
      </c>
      <c r="F8" s="9" t="inlineStr">
        <is>
          <t>その検査</t>
        </is>
      </c>
      <c r="G8" s="9" t="inlineStr">
        <is>
          <t>この秒でコマンドが終わらなければ失敗。interval より短くする規則は、コンテナ検査には無い。</t>
        </is>
      </c>
    </row>
    <row r="9" ht="48" customHeight="1">
      <c r="A9" s="10" t="inlineStr">
        <is>
          <t>コンテナ</t>
        </is>
      </c>
      <c r="B9" s="10" t="inlineStr">
        <is>
          <t>healthCheck.retries</t>
        </is>
      </c>
      <c r="C9" s="10" t="inlineStr">
        <is>
          <t>1 〜 10</t>
        </is>
      </c>
      <c r="D9" s="10" t="inlineStr">
        <is>
          <t>3</t>
        </is>
      </c>
      <c r="E9" s="10" t="inlineStr">
        <is>
          <t>ADOT 5、他 3</t>
        </is>
      </c>
      <c r="F9" s="10" t="inlineStr">
        <is>
          <t>免責のあと</t>
        </is>
      </c>
      <c r="G9" s="10" t="inlineStr">
        <is>
          <t>連続失敗がこの回数で UNHEALTHY。HEALTHYになるのに必要な成功回数は1。</t>
        </is>
      </c>
    </row>
    <row r="10" ht="48" customHeight="1">
      <c r="A10" s="9" t="inlineStr">
        <is>
          <t>コンテナ</t>
        </is>
      </c>
      <c r="B10" s="9" t="inlineStr">
        <is>
          <t>healthCheck.startPeriod</t>
        </is>
      </c>
      <c r="C10" s="9" t="inlineStr">
        <is>
          <t>0 〜 300 秒</t>
        </is>
      </c>
      <c r="D10" s="9" t="inlineStr">
        <is>
          <t>オフ（0）</t>
        </is>
      </c>
      <c r="E10" s="9" t="inlineStr">
        <is>
          <t>計算シートの sp_*</t>
        </is>
      </c>
      <c r="F10" s="9" t="inlineStr">
        <is>
          <t>そのコンテナのプロセス開始</t>
        </is>
      </c>
      <c r="G10" s="9" t="inlineStr">
        <is>
          <t>この間の失敗は retries に数えない。成功した瞬間に HEALTHY。その後の失敗は数える。</t>
        </is>
      </c>
    </row>
    <row r="11" ht="60" customHeight="1">
      <c r="A11" s="10" t="inlineStr">
        <is>
          <t>コンテナ</t>
        </is>
      </c>
      <c r="B11" s="10" t="inlineStr">
        <is>
          <t>dependsOn.condition</t>
        </is>
      </c>
      <c r="C11" s="10" t="inlineStr">
        <is>
          <t>START / COMPLETE / SUCCESS / HEALTHY</t>
        </is>
      </c>
      <c r="D11" s="10" t="inlineStr">
        <is>
          <t>なし</t>
        </is>
      </c>
      <c r="E11" s="10" t="inlineStr">
        <is>
          <t>HEALTHY</t>
        </is>
      </c>
      <c r="F11" s="10" t="inlineStr">
        <is>
          <t>起動時だけ</t>
        </is>
      </c>
      <c r="G11" s="10" t="inlineStr">
        <is>
          <t>HEALTHYは相手の検査成功を待つ。COMPLETEとSUCCESSは essential には不可。</t>
        </is>
      </c>
    </row>
    <row r="12" ht="60" customHeight="1">
      <c r="A12" s="9" t="inlineStr">
        <is>
          <t>コンテナ</t>
        </is>
      </c>
      <c r="B12" s="9" t="inlineStr">
        <is>
          <t>startTimeout</t>
        </is>
      </c>
      <c r="C12" s="9" t="inlineStr">
        <is>
          <t>書くなら Fargate は 2 〜 120 秒</t>
        </is>
      </c>
      <c r="D12" s="9" t="inlineStr">
        <is>
          <t>未指定時の秒数は同じページに無い</t>
        </is>
      </c>
      <c r="E12" s="9" t="inlineStr">
        <is>
          <t>ADOTは計算値。バックは空欄</t>
        </is>
      </c>
      <c r="F12" s="9" t="inlineStr">
        <is>
          <t>依存の解決</t>
        </is>
      </c>
      <c r="G12" s="9" t="inlineStr">
        <is>
          <t>待たれているコンテナに書く、と公式例は説明している。時間内に条件を満たさなければ待つ側は起動しない。タスクは STOPPED。</t>
        </is>
      </c>
    </row>
    <row r="13" ht="48" customHeight="1">
      <c r="A13" s="10" t="inlineStr">
        <is>
          <t>コンテナ</t>
        </is>
      </c>
      <c r="B13" s="10" t="inlineStr">
        <is>
          <t>stopTimeout</t>
        </is>
      </c>
      <c r="C13" s="10" t="inlineStr">
        <is>
          <t>Fargate 最大 120 秒</t>
        </is>
      </c>
      <c r="D13" s="10" t="inlineStr">
        <is>
          <t>30</t>
        </is>
      </c>
      <c r="E13" s="10" t="inlineStr">
        <is>
          <t>今回は既定のままでよい</t>
        </is>
      </c>
      <c r="F13" s="10" t="inlineStr">
        <is>
          <t>停止シグナルのあと</t>
        </is>
      </c>
      <c r="G13" s="10" t="inlineStr">
        <is>
          <t>自分で終わらないプロセスを強制停止するまで。依存の終了順とは別。</t>
        </is>
      </c>
    </row>
    <row r="14" ht="60" customHeight="1">
      <c r="A14" s="9" t="inlineStr">
        <is>
          <t>コンテナ</t>
        </is>
      </c>
      <c r="B14" s="9" t="inlineStr">
        <is>
          <t>essential</t>
        </is>
      </c>
      <c r="C14" s="9" t="inlineStr">
        <is>
          <t>true / false</t>
        </is>
      </c>
      <c r="D14" s="9" t="inlineStr">
        <is>
          <t>true</t>
        </is>
      </c>
      <c r="E14" s="9" t="inlineStr">
        <is>
          <t>ADOTとアプリは true、CWは false</t>
        </is>
      </c>
      <c r="F14" s="9" t="inlineStr">
        <is>
          <t>タスクの一生</t>
        </is>
      </c>
      <c r="G14" s="9" t="inlineStr">
        <is>
          <t>essential の終了、または検査UNHEALTHYが、タスク停止の材料になる。false はタスクヘルスに入らない。</t>
        </is>
      </c>
    </row>
    <row r="15" ht="48" customHeight="1">
      <c r="A15" s="10" t="inlineStr">
        <is>
          <t>ALBターゲットグループ</t>
        </is>
      </c>
      <c r="B15" s="10" t="inlineStr">
        <is>
          <t>HealthCheckIntervalSeconds</t>
        </is>
      </c>
      <c r="C15" s="10" t="inlineStr">
        <is>
          <t>5 〜 300 秒</t>
        </is>
      </c>
      <c r="D15" s="10" t="inlineStr">
        <is>
          <t>instance/ip は 30</t>
        </is>
      </c>
      <c r="E15" s="10" t="inlineStr">
        <is>
          <t>10</t>
        </is>
      </c>
      <c r="F15" s="10" t="inlineStr">
        <is>
          <t>登録後</t>
        </is>
      </c>
      <c r="G15" s="10" t="inlineStr">
        <is>
          <t>各ターゲットへのノック間隔。</t>
        </is>
      </c>
    </row>
    <row r="16" ht="48" customHeight="1">
      <c r="A16" s="9" t="inlineStr">
        <is>
          <t>ALBターゲットグループ</t>
        </is>
      </c>
      <c r="B16" s="9" t="inlineStr">
        <is>
          <t>HealthCheckTimeoutSeconds</t>
        </is>
      </c>
      <c r="C16" s="9" t="inlineStr">
        <is>
          <t>2 〜 120 秒</t>
        </is>
      </c>
      <c r="D16" s="9" t="inlineStr">
        <is>
          <t>instance/ip は 5</t>
        </is>
      </c>
      <c r="E16" s="9" t="inlineStr">
        <is>
          <t>5</t>
        </is>
      </c>
      <c r="F16" s="9" t="inlineStr">
        <is>
          <t>そのノック</t>
        </is>
      </c>
      <c r="G16" s="9" t="inlineStr">
        <is>
          <t>無応答を失敗にする秒。推奨は間隔より短く保つ。</t>
        </is>
      </c>
    </row>
    <row r="17" ht="48" customHeight="1">
      <c r="A17" s="10" t="inlineStr">
        <is>
          <t>ALBターゲットグループ</t>
        </is>
      </c>
      <c r="B17" s="10" t="inlineStr">
        <is>
          <t>HealthyThresholdCount</t>
        </is>
      </c>
      <c r="C17" s="10" t="inlineStr">
        <is>
          <t>2 〜 10</t>
        </is>
      </c>
      <c r="D17" s="10" t="inlineStr">
        <is>
          <t>5</t>
        </is>
      </c>
      <c r="E17" s="10" t="inlineStr">
        <is>
          <t>2</t>
        </is>
      </c>
      <c r="F17" s="10" t="inlineStr">
        <is>
          <t>unhealthy からの復帰</t>
        </is>
      </c>
      <c r="G17" s="10" t="inlineStr">
        <is>
          <t>新規登録で一度も故障札になっていなければ、成功1回で healthy。故障札のあとだけ、この回数の連続成功が要る。</t>
        </is>
      </c>
    </row>
    <row r="18" ht="48" customHeight="1">
      <c r="A18" s="9" t="inlineStr">
        <is>
          <t>ALBターゲットグループ</t>
        </is>
      </c>
      <c r="B18" s="9" t="inlineStr">
        <is>
          <t>UnhealthyThresholdCount</t>
        </is>
      </c>
      <c r="C18" s="9" t="inlineStr">
        <is>
          <t>2 〜 10</t>
        </is>
      </c>
      <c r="D18" s="9" t="inlineStr">
        <is>
          <t>2</t>
        </is>
      </c>
      <c r="E18" s="9" t="inlineStr">
        <is>
          <t>3</t>
        </is>
      </c>
      <c r="F18" s="9" t="inlineStr">
        <is>
          <t>登録後の失敗</t>
        </is>
      </c>
      <c r="G18" s="9" t="inlineStr">
        <is>
          <t>連続失敗で故障札。210秒起動は、推奨の3×10秒も既定の2×30秒も超えるので、故障札になる。</t>
        </is>
      </c>
    </row>
    <row r="19" ht="48" customHeight="1">
      <c r="A19" s="10" t="inlineStr">
        <is>
          <t>ALBターゲットグループ</t>
        </is>
      </c>
      <c r="B19" s="10" t="inlineStr">
        <is>
          <t>HealthCheckPath</t>
        </is>
      </c>
      <c r="C19" s="10" t="inlineStr">
        <is>
          <t>URI。gRPCは別形式</t>
        </is>
      </c>
      <c r="D19" s="10" t="inlineStr">
        <is>
          <t>/</t>
        </is>
      </c>
      <c r="E19" s="10" t="inlineStr">
        <is>
          <t>準備完了パス</t>
        </is>
      </c>
      <c r="F19" s="10" t="inlineStr">
        <is>
          <t>ノックのたび</t>
        </is>
      </c>
      <c r="G19" s="10" t="inlineStr">
        <is>
          <t>プロセスが生きているだけでは200にしない。</t>
        </is>
      </c>
    </row>
    <row r="20" ht="48" customHeight="1">
      <c r="A20" s="9" t="inlineStr">
        <is>
          <t>ALBターゲットグループ</t>
        </is>
      </c>
      <c r="B20" s="9" t="inlineStr">
        <is>
          <t>Matcher</t>
        </is>
      </c>
      <c r="C20" s="9" t="inlineStr">
        <is>
          <t>HTTPなら 200 〜 499</t>
        </is>
      </c>
      <c r="D20" s="9" t="inlineStr">
        <is>
          <t>200</t>
        </is>
      </c>
      <c r="E20" s="9" t="inlineStr">
        <is>
          <t>200</t>
        </is>
      </c>
      <c r="F20" s="9" t="inlineStr">
        <is>
          <t>応答コード</t>
        </is>
      </c>
      <c r="G20" s="9" t="inlineStr">
        <is>
          <t>200,202 や 200-299 も書ける。</t>
        </is>
      </c>
    </row>
    <row r="21" ht="60" customHeight="1">
      <c r="A21" s="10" t="inlineStr">
        <is>
          <t>ALBターゲットグループ</t>
        </is>
      </c>
      <c r="B21" s="10" t="inlineStr">
        <is>
          <t>Protocol / Port</t>
        </is>
      </c>
      <c r="C21" s="10" t="inlineStr">
        <is>
          <t>HTTP または HTTPS。ポートは1〜65535か traffic-port</t>
        </is>
      </c>
      <c r="D21" s="10" t="inlineStr">
        <is>
          <t>HTTP、トラフィックポート</t>
        </is>
      </c>
      <c r="E21" s="10" t="inlineStr">
        <is>
          <t>フロントの待受</t>
        </is>
      </c>
      <c r="F21" s="10" t="inlineStr">
        <is>
          <t>ノック</t>
        </is>
      </c>
      <c r="G21" s="10" t="inlineStr">
        <is>
          <t>13133やバックエンドのポートには向けない。</t>
        </is>
      </c>
    </row>
    <row r="22" ht="60" customHeight="1">
      <c r="A22" s="9" t="inlineStr">
        <is>
          <t>ターゲットグループ属性</t>
        </is>
      </c>
      <c r="B22" s="9" t="inlineStr">
        <is>
          <t>deregistration_delay.timeout_seconds</t>
        </is>
      </c>
      <c r="C22" s="9" t="inlineStr">
        <is>
          <t>0 〜 3600 秒</t>
        </is>
      </c>
      <c r="D22" s="9" t="inlineStr">
        <is>
          <t>300</t>
        </is>
      </c>
      <c r="E22" s="9" t="inlineStr">
        <is>
          <t>リクエストの最大時間。短時間APIなら120を検討</t>
        </is>
      </c>
      <c r="F22" s="9" t="inlineStr">
        <is>
          <t>登録解除のあと</t>
        </is>
      </c>
      <c r="G22" s="9" t="inlineStr">
        <is>
          <t>既存接続を送り出す。起動の見逃しではない。</t>
        </is>
      </c>
    </row>
    <row r="23" ht="48" customHeight="1">
      <c r="A23" s="10" t="inlineStr">
        <is>
          <t>ターゲットグループ属性</t>
        </is>
      </c>
      <c r="B23" s="10" t="inlineStr">
        <is>
          <t>slow_start.duration_seconds</t>
        </is>
      </c>
      <c r="C23" s="10" t="inlineStr">
        <is>
          <t>0、または 30 〜 900 秒</t>
        </is>
      </c>
      <c r="D23" s="10" t="inlineStr">
        <is>
          <t>0</t>
        </is>
      </c>
      <c r="E23" s="10" t="inlineStr">
        <is>
          <t>0</t>
        </is>
      </c>
      <c r="F23" s="10" t="inlineStr">
        <is>
          <t>healthy になったあと</t>
        </is>
      </c>
      <c r="G23" s="10" t="inlineStr">
        <is>
          <t>流量を徐々に増やす。ノックの開始時刻は動かない。</t>
        </is>
      </c>
    </row>
    <row r="24" ht="48" customHeight="1">
      <c r="A24" s="9" t="inlineStr">
        <is>
          <t>ALB</t>
        </is>
      </c>
      <c r="B24" s="9" t="inlineStr">
        <is>
          <t>idle timeout</t>
        </is>
      </c>
      <c r="C24" s="9" t="inlineStr">
        <is>
          <t>1 〜 4000 秒</t>
        </is>
      </c>
      <c r="D24" s="9" t="inlineStr">
        <is>
          <t>60</t>
        </is>
      </c>
      <c r="E24" s="9" t="inlineStr">
        <is>
          <t>起動設計では変えない</t>
        </is>
      </c>
      <c r="F24" s="9" t="inlineStr">
        <is>
          <t>無通信の接続</t>
        </is>
      </c>
      <c r="G24" s="9" t="inlineStr">
        <is>
          <t>開いたままの接続を切る。起動順とは別。</t>
        </is>
      </c>
    </row>
    <row r="25" ht="48" customHeight="1">
      <c r="A25" s="10" t="inlineStr">
        <is>
          <t>参考</t>
        </is>
      </c>
      <c r="B25" s="10" t="inlineStr">
        <is>
          <t>EC2 Auto Scaling の猶予</t>
        </is>
      </c>
      <c r="C25" s="10" t="inlineStr">
        <is>
          <t>グループ設定</t>
        </is>
      </c>
      <c r="D25" s="10" t="inlineStr">
        <is>
          <t>コンソール作成時 300 秒、API作成時 0 秒が多い</t>
        </is>
      </c>
      <c r="E25" s="10" t="inlineStr">
        <is>
          <t>今回の対象外</t>
        </is>
      </c>
      <c r="F25" s="10" t="inlineStr">
        <is>
          <t>インスタンスの InService 後</t>
        </is>
      </c>
      <c r="G25" s="10" t="inlineStr">
        <is>
          <t>ECSサービスの healthCheckGracePeriodSeconds とは別物。</t>
        </is>
      </c>
    </row>
  </sheetData>
  <autoFilter ref="A4:G25"/>
  <mergeCells count="2">
    <mergeCell ref="A2:G2"/>
    <mergeCell ref="A1:G1"/>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設定できる範囲</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6.xml><?xml version="1.0" encoding="utf-8"?>
<worksheet xmlns="http://schemas.openxmlformats.org/spreadsheetml/2006/main">
  <sheetPr>
    <tabColor rgb="004A4A4A"/>
    <outlinePr summaryBelow="1" summaryRight="1"/>
    <pageSetUpPr fitToPage="1"/>
  </sheetPr>
  <dimension ref="A1:A22"/>
  <sheetViews>
    <sheetView showGridLines="0" view="normal" zoomScale="110" zoomScaleNormal="110" workbookViewId="0">
      <pane ySplit="3" topLeftCell="A4" activePane="bottomLeft" state="frozen"/>
      <selection pane="bottomLeft" activeCell="A1" sqref="A1"/>
    </sheetView>
  </sheetViews>
  <sheetFormatPr baseColWidth="8" defaultColWidth="12" defaultRowHeight="18"/>
  <cols>
    <col width="120" customWidth="1" min="1" max="1"/>
  </cols>
  <sheetData>
    <row r="1" ht="32" customHeight="1">
      <c r="A1" s="1" t="inlineStr">
        <is>
          <t>05_三つの時計</t>
        </is>
      </c>
    </row>
    <row r="2" ht="36" customHeight="1">
      <c r="A2" s="2" t="inlineStr">
        <is>
          <t>同じ「秒」でも、ゼロ地点が違います。</t>
        </is>
      </c>
    </row>
    <row r="3">
      <c r="A3" s="3" t="n"/>
    </row>
    <row r="4" ht="26" customHeight="1">
      <c r="A4" s="18" t="inlineStr">
        <is>
          <t>時計1  コンテナの startPeriod</t>
        </is>
      </c>
    </row>
    <row r="5" ht="44" customHeight="1">
      <c r="A5" s="5" t="inlineStr">
        <is>
          <t>ゼロ地点は、そのコンテナのプロセスが開始した瞬間です。タスクが PENDING になった瞬間ではありません。イメージ取得のあいだは、まだこの時計は動いていません。</t>
        </is>
      </c>
    </row>
    <row r="6" ht="44" customHeight="1">
      <c r="A6" s="5" t="inlineStr">
        <is>
          <t>動いているあいだ、検査は止まりません。失敗を病気の回数に入れないだけです。1回でも成功すると HEALTHY になり、依存で待っている次のコンテナが起動します。startPeriod の残り時間は待ちません。</t>
        </is>
      </c>
    </row>
    <row r="7" ht="44" customHeight="1">
      <c r="A7" s="5" t="inlineStr">
        <is>
          <t>上限は300秒です。起動が300秒を超えるコンテナは、この免責だけでは覆いきれません。免責が終わったあと、retries × interval の失敗で UNHEALTHY になります。</t>
        </is>
      </c>
    </row>
    <row r="8" ht="26" customHeight="1">
      <c r="A8" s="18" t="inlineStr">
        <is>
          <t>時計2  サービスの猶予</t>
        </is>
      </c>
    </row>
    <row r="9" ht="44" customHeight="1">
      <c r="A9" s="5" t="inlineStr">
        <is>
          <t>ゼロ地点は、公式には「タスクが開始したあと」です。別の説明では、イメージ取得、コンテナ作成、ネットワーク、ターゲットグループへの登録が ACTIVATING に含まれます。登録が RUNNING より前なら、ノックは猶予の消費と同時か、それより前から始まります。</t>
        </is>
      </c>
    </row>
    <row r="10" ht="44" customHeight="1">
      <c r="A10" s="5" t="inlineStr">
        <is>
          <t>この時計はタスクに1つです。フロント専用の猶予はありません。直列にすると、ADOTの起動、バックエンドの起動、フロントの起動が、同じ300秒の中で順番に消費されます。</t>
        </is>
      </c>
    </row>
    <row r="11" ht="44" customHeight="1">
      <c r="A11" s="5" t="inlineStr">
        <is>
          <t>猶予が終わった時点でターゲットがまだ unhealthy なら、スケジューラはそのタスクを置き換えの対象にします。起動が間に合えば、猶予は何もしません。長くしすぎると、本当に壊れた起動の置き換えが遅れます。</t>
        </is>
      </c>
    </row>
    <row r="12" ht="44" customHeight="1">
      <c r="A12" s="5" t="inlineStr">
        <is>
          <t>例外があります。実行中タスクが desired より多いとき、猶予中でも unhealthy のタスクが desired へ戻すために止まることがあります。ロール中の重なりで起きます。</t>
        </is>
      </c>
    </row>
    <row r="13" ht="26" customHeight="1">
      <c r="A13" s="18" t="inlineStr">
        <is>
          <t>時計3  ALBの間隔としきい値</t>
        </is>
      </c>
    </row>
    <row r="14" ht="34" customHeight="1">
      <c r="A14" s="5" t="inlineStr">
        <is>
          <t>ゼロ地点は、ターゲットが登録された瞬間です。新規のあいだは、成功1回で healthy です。健全しきい値は使いません。</t>
        </is>
      </c>
    </row>
    <row r="15" ht="62" customHeight="1">
      <c r="A15" s="5" t="inlineStr">
        <is>
          <t>不健全しきい値 × 間隔 だけ失敗が続くと、故障札になります。210秒の起動は、間隔10でしきい値3（約30秒）も、既定の間隔30でしきい値2（約60秒）も超えます。だからこの予算では、故障札からの復帰として計算します。復帰の最悪は、間隔 × 健全しきい値です。既定なら 30×5＝150秒。推奨なら 10×2＝20秒です。</t>
        </is>
      </c>
    </row>
    <row r="16" ht="44" customHeight="1">
      <c r="A16" s="5" t="inlineStr">
        <is>
          <t>ECSのロードバランサー最適化のページも、しきい値は unhealthy から healthy へ戻るときにだけ効く、と書いています。そして既定での復帰時間の例として 30秒×5＝150秒 を挙げています。</t>
        </is>
      </c>
    </row>
    <row r="17" ht="26" customHeight="1">
      <c r="A17" s="18" t="inlineStr">
        <is>
          <t>足し算になる場所、ならない場所</t>
        </is>
      </c>
    </row>
    <row r="18" ht="34" customHeight="1">
      <c r="A18" s="5" t="inlineStr">
        <is>
          <t>イメージ取得は先頭に1回です。4コンテナぶん掛けません。</t>
        </is>
      </c>
    </row>
    <row r="19" ht="34" customHeight="1">
      <c r="A19" s="5" t="inlineStr">
        <is>
          <t>ADOTの HEALTHY 待ちは、バックエンドの前に足されます。バックエンドの HEALTHY 待ちは、フロントの前に足されます。</t>
        </is>
      </c>
    </row>
    <row r="20" ht="34" customHeight="1">
      <c r="A20" s="5" t="inlineStr">
        <is>
          <t>CloudWatch Agent は depends_on が無いので足されません。</t>
        </is>
      </c>
    </row>
    <row r="21" ht="44" customHeight="1">
      <c r="A21" s="5" t="inlineStr">
        <is>
          <t>startPeriod は、そのコンテナの免責の長さであり、次のコンテナの開始を遅らせるタイマーではありません。遅らせるのは、検査が成功するまでの実時間です。</t>
        </is>
      </c>
    </row>
    <row r="22" ht="44" customHeight="1">
      <c r="A22" s="5" t="inlineStr">
        <is>
          <t>フロントの startPeriod は、フロントのプロセスが始まってから動きます。直列の待ちで既に過ぎた秒数は、フロントの免責を消費しません。消費するのは店長の猶予の方です。</t>
        </is>
      </c>
    </row>
  </sheetData>
  <mergeCells count="2">
    <mergeCell ref="A2"/>
    <mergeCell ref="A1"/>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05_三つの時計</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7.xml><?xml version="1.0" encoding="utf-8"?>
<worksheet xmlns="http://schemas.openxmlformats.org/spreadsheetml/2006/main">
  <sheetPr>
    <tabColor rgb="004A4A4A"/>
    <outlinePr summaryBelow="1" summaryRight="1"/>
    <pageSetUpPr fitToPage="1"/>
  </sheetPr>
  <dimension ref="A1:A29"/>
  <sheetViews>
    <sheetView showGridLines="0" view="normal" zoomScale="110" zoomScaleNormal="110" workbookViewId="0">
      <pane ySplit="3" topLeftCell="A4" activePane="bottomLeft" state="frozen"/>
      <selection pane="bottomLeft" activeCell="A1" sqref="A1"/>
    </sheetView>
  </sheetViews>
  <sheetFormatPr baseColWidth="8" defaultColWidth="12" defaultRowHeight="18"/>
  <cols>
    <col width="120" customWidth="1" min="1" max="1"/>
  </cols>
  <sheetData>
    <row r="1" ht="32" customHeight="1">
      <c r="A1" s="1" t="inlineStr">
        <is>
          <t>06_動作原理</t>
        </is>
      </c>
    </row>
    <row r="2" ht="36" customHeight="1">
      <c r="A2" s="2" t="inlineStr">
        <is>
          <t>依存、essential、13133、localhost、タスクが止まる条件。</t>
        </is>
      </c>
    </row>
    <row r="3">
      <c r="A3" s="3" t="n"/>
    </row>
    <row r="4" ht="26" customHeight="1">
      <c r="A4" s="18" t="inlineStr">
        <is>
          <t>タスクの状態と登録</t>
        </is>
      </c>
    </row>
    <row r="5" ht="44" customHeight="1">
      <c r="A5" s="5" t="inlineStr">
        <is>
          <t>Fargate では、イメージ取得はコンテナのプロセス開始より前です。APIのライフサイクル説明では、ACTIVATING でイメージ取得、コンテナ作成、ネットワーク、ロードバランサーへの登録、サービスディスカバリが行われ、RUNNING でタスクが仕事をします。</t>
        </is>
      </c>
    </row>
    <row r="6" ht="44" customHeight="1">
      <c r="A6" s="5" t="inlineStr">
        <is>
          <t>猶予の文章は「タスクが開始したあと」です。登録の文章は ACTIVATING に登録を含みます。この2つが同じ秒とは書かれていません。だからブックは、取得を含む安全側と、含まない取得後起算の両方を出します。</t>
        </is>
      </c>
    </row>
    <row r="7" ht="26" customHeight="1">
      <c r="A7" s="18" t="inlineStr">
        <is>
          <t>検査の状態</t>
        </is>
      </c>
    </row>
    <row r="8" ht="44" customHeight="1">
      <c r="A8" s="5" t="inlineStr">
        <is>
          <t>コンテナは HEALTHY、UNHEALTHY、UNKNOWN です。startPeriod 中でまだ成功していない状態は UNKNOWN 側に見えます。成功で HEALTHY。免責後に retries まで失敗すると UNHEALTHY。</t>
        </is>
      </c>
    </row>
    <row r="9" ht="62" customHeight="1">
      <c r="A9" s="5" t="inlineStr">
        <is>
          <t>タスクヘルスは、essential かつ検査コマンドがあるコンテナだけで決まります。1つでも UNHEALTHY ならタスクは UNHEALTHY。UNHEALTHY が無く UNKNOWN があればタスクは UNKNOWN。対象が全部 HEALTHY ならタスクは HEALTHY。</t>
        </is>
      </c>
    </row>
    <row r="10" ht="62" customHeight="1">
      <c r="A10" s="5" t="inlineStr">
        <is>
          <t>CloudWatch Agent を essential false にすると、その UNHEALTHY はタスクヘルスに入りません。ADOT を essential true にすると、コレクタの UNHEALTHY はタスクの UNHEALTHY です。猶予のあと、サービスはタスクを置き換えます。</t>
        </is>
      </c>
    </row>
    <row r="11" ht="44" customHeight="1">
      <c r="A11" s="5" t="inlineStr">
        <is>
          <t>手動で RunTask したタスクは、ヘルスが悪くてもライフサイクルを続けます。サービスに属しているタスクは、UNHEALTHY になると止められ、代わりが起動されます。</t>
        </is>
      </c>
    </row>
    <row r="12" ht="26" customHeight="1">
      <c r="A12" s="18" t="inlineStr">
        <is>
          <t>HEALTHY 依存の解け方</t>
        </is>
      </c>
    </row>
    <row r="13" ht="34" customHeight="1">
      <c r="A13" s="5" t="inlineStr">
        <is>
          <t>相手のコンテナに healthCheck が必要です。検査が1回成功すると解けます。startPeriod の満了は条件ではありません。</t>
        </is>
      </c>
    </row>
    <row r="14" ht="44" customHeight="1">
      <c r="A14" s="5" t="inlineStr">
        <is>
          <t>確認は起動時だけです。あとから郵便係が UNHEALTHY になっても、厨房をもう一度待ち状態には戻しません。ただし essential の検査失敗は、別ルートでタスクを止めます。</t>
        </is>
      </c>
    </row>
    <row r="15" ht="44" customHeight="1">
      <c r="A15" s="5" t="inlineStr">
        <is>
          <t>START はプロセスが生成されたことだけを見ます。コレクタのポートが開く前にアプリが OTLP を送ると、その分のトレースは消え得ます。アプリのエクスポータに再送とキューがあれば、その窓は小さくなります。再送が無いなら HEALTHY が確実です。</t>
        </is>
      </c>
    </row>
    <row r="16" ht="26" customHeight="1">
      <c r="A16" s="18" t="inlineStr">
        <is>
          <t>startTimeout の120秒</t>
        </is>
      </c>
    </row>
    <row r="17" ht="62" customHeight="1">
      <c r="A17" s="5" t="inlineStr">
        <is>
          <t>Fargate で値を書くと 2〜120 秒です。公式の例は、containerA が containerB の COMPLETE、SUCCESS、または HEALTHY を待ち、startTimeout を containerB に書くと、その時間で containerA が諦める、と説明しています。</t>
        </is>
      </c>
    </row>
    <row r="18" ht="62" customHeight="1">
      <c r="A18" s="5" t="inlineStr">
        <is>
          <t>バックエンドの準備完了が210秒＋検出10秒なら、120秒では必ず諦めます。だからバックエンドコンテナの startTimeout は空欄にします。空欄のときの上限秒数は、同じ説明に数値がありません。プラットフォームが別の打ち切りを持っている可能性は、試験タスクで確認します。待ちが約180秒で依存違反として止まるなら、210秒の HEALTHY 待ちは成立せず、パターンCかDへ切り替えます。</t>
        </is>
      </c>
    </row>
    <row r="19" ht="44" customHeight="1">
      <c r="A19" s="5" t="inlineStr">
        <is>
          <t>ADOT は数十秒で HEALTHY になる予算なので、startTimeout を 120 以内で書けます。コレクタの設定ミスで 13133 が永遠に失敗するとき、厨房を無限に待たせないための打ち切りです。</t>
        </is>
      </c>
    </row>
    <row r="20" ht="26" customHeight="1">
      <c r="A20" s="18" t="inlineStr">
        <is>
          <t>13133 と localhost</t>
        </is>
      </c>
    </row>
    <row r="21" ht="62" customHeight="1">
      <c r="A21" s="5" t="inlineStr">
        <is>
          <t>awsvpc の同一タスクでは、コンテナ同士は localhost で通信できます。厨房の OTLP は 127.0.0.1:4317 または 4318 です。/healthcheck は 127.0.0.1:13133 を見ます。このポートをセキュリティグループで外へ開ける必要は、コンテナ検査のためにはありません。ALBのターゲットにもしません。</t>
        </is>
      </c>
    </row>
    <row r="22" ht="62" customHeight="1">
      <c r="A22" s="5" t="inlineStr">
        <is>
          <t>コレクタ設定の service.extensions に health_check が入り、endpoint が 0.0.0.0:13133 である必要があります。同梱の /etc/ecs/ecs-default-config.yaml には入っています。自作YAMLで拡張を外すと、依存は解けません。endpoint を変えたら、検査コマンドもそのポートに合わせます。</t>
        </is>
      </c>
    </row>
    <row r="23" ht="26" customHeight="1">
      <c r="A23" s="18" t="inlineStr">
        <is>
          <t>フロントの準備完了が厨房を呼ぶ場合</t>
        </is>
      </c>
    </row>
    <row r="24" ht="44" customHeight="1">
      <c r="A24" s="5" t="inlineStr">
        <is>
          <t>パターンCは、フロントの200がフロント単独で返せる仮定です。準備完了URLがバックエンドAPIを呼び、厨房が起きるまで500を返すなら、ALBの成功時刻は厨房の準備完了より後ろへずれます。そのときはパターンBの式で猶予を見ます。</t>
        </is>
      </c>
    </row>
    <row r="25" ht="26" customHeight="1">
      <c r="A25" s="18" t="inlineStr">
        <is>
          <t>CPUの取り合い</t>
        </is>
      </c>
    </row>
    <row r="26" ht="44" customHeight="1">
      <c r="A26" s="5" t="inlineStr">
        <is>
          <t>Fargate のCPUはタスク全体の枠です。ADOTとCloudWatch Agentの起動が、アプリの起動を遅くします。B_be と B_fe は、サイドカーがいるタスクで測った秒数を使います。サイドカー無しのローカル計測は短く出ます。</t>
        </is>
      </c>
    </row>
    <row r="27" ht="26" customHeight="1">
      <c r="A27" s="18" t="inlineStr">
        <is>
          <t>デプロイの重なり</t>
        </is>
      </c>
    </row>
    <row r="28" ht="62" customHeight="1">
      <c r="A28" s="5" t="inlineStr">
        <is>
          <t>minimumHealthyPercent 100、maximumPercent 200 なら、新しいタスクが healthy になるまで古いタスクを残しやすくなります。猶予が630秒だと、新旧が重なる時間もその級数になります。壊れた新タスクを止める役として、デプロイサーキットブレーカーとロールバックを有効にします。</t>
        </is>
      </c>
    </row>
    <row r="29" ht="44" customHeight="1">
      <c r="A29" s="5" t="inlineStr">
        <is>
          <t>desiredCount が1で、起動中に唯一のターゲットが unhealthy になると、ALBは全ターゲット故障時のフェイルオープンで、準備中のタスクへリクエストを送ることがあります。本番は2タスク以上か、古い healthy を残すデプロイ設定にします。</t>
        </is>
      </c>
    </row>
  </sheetData>
  <mergeCells count="2">
    <mergeCell ref="A2"/>
    <mergeCell ref="A1"/>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06_動作原理</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8.xml><?xml version="1.0" encoding="utf-8"?>
<worksheet xmlns="http://schemas.openxmlformats.org/spreadsheetml/2006/main">
  <sheetPr>
    <tabColor rgb="004A4A4A"/>
    <outlinePr summaryBelow="1" summaryRight="1"/>
    <pageSetUpPr fitToPage="1"/>
  </sheetPr>
  <dimension ref="A1:H31"/>
  <sheetViews>
    <sheetView showGridLines="0" view="normal" zoomScale="110" zoomScaleNormal="110" workbookViewId="0">
      <pane ySplit="4" topLeftCell="A5" activePane="bottomLeft" state="frozen"/>
      <selection pane="bottomLeft" activeCell="A1" sqref="A1"/>
    </sheetView>
  </sheetViews>
  <sheetFormatPr baseColWidth="8" defaultColWidth="12" defaultRowHeight="18"/>
  <cols>
    <col width="18" customWidth="1" min="1" max="1"/>
    <col width="42" customWidth="1" min="2" max="2"/>
    <col width="14" customWidth="1" min="3" max="3"/>
    <col width="10" customWidth="1" min="4" max="4"/>
    <col width="12" customWidth="1" min="5" max="5"/>
    <col width="16" customWidth="1" min="6" max="6"/>
    <col width="55" customWidth="1" min="7" max="7"/>
    <col width="55" customWidth="1" min="8" max="8"/>
  </cols>
  <sheetData>
    <row r="1" ht="32" customHeight="1">
      <c r="A1" s="1" t="inlineStr">
        <is>
          <t>前提（灰色のセルだけ入力）</t>
        </is>
      </c>
      <c r="B1" s="1" t="n"/>
      <c r="C1" s="1" t="n"/>
      <c r="D1" s="1" t="n"/>
      <c r="E1" s="1" t="n"/>
      <c r="F1" s="1" t="n"/>
      <c r="G1" s="1" t="n"/>
      <c r="H1" s="1" t="n"/>
    </row>
    <row r="2" ht="36" customHeight="1">
      <c r="A2" s="2" t="inlineStr">
        <is>
          <t>210秒と60秒は相談時の予算です。DescribeTasks の時刻と、アプリが200を返し始めた時刻で置き換えてください。</t>
        </is>
      </c>
      <c r="B2" s="2" t="n"/>
      <c r="C2" s="2" t="n"/>
      <c r="D2" s="2" t="n"/>
      <c r="E2" s="2" t="n"/>
      <c r="F2" s="2" t="n"/>
      <c r="G2" s="2" t="n"/>
      <c r="H2" s="2" t="n"/>
    </row>
    <row r="3">
      <c r="A3" s="3" t="n"/>
      <c r="B3" s="3" t="n"/>
      <c r="C3" s="3" t="n"/>
      <c r="D3" s="3" t="n"/>
      <c r="E3" s="3" t="n"/>
      <c r="F3" s="3" t="n"/>
      <c r="G3" s="3" t="n"/>
      <c r="H3" s="3" t="n"/>
    </row>
    <row r="4" ht="32" customHeight="1">
      <c r="A4" s="11" t="inlineStr">
        <is>
          <t>記号</t>
        </is>
      </c>
      <c r="B4" s="11" t="inlineStr">
        <is>
          <t>意味</t>
        </is>
      </c>
      <c r="C4" s="11" t="inlineStr">
        <is>
          <t>入力値</t>
        </is>
      </c>
      <c r="D4" s="11" t="inlineStr">
        <is>
          <t>単位</t>
        </is>
      </c>
      <c r="E4" s="11" t="inlineStr">
        <is>
          <t>下限</t>
        </is>
      </c>
      <c r="F4" s="11" t="inlineStr">
        <is>
          <t>上限</t>
        </is>
      </c>
      <c r="G4" s="11" t="inlineStr">
        <is>
          <t>この予算の意味</t>
        </is>
      </c>
      <c r="H4" s="11" t="inlineStr">
        <is>
          <t>測り方</t>
        </is>
      </c>
    </row>
    <row r="5" ht="48" customHeight="1">
      <c r="A5" s="19" t="inlineStr">
        <is>
          <t>P_sec</t>
        </is>
      </c>
      <c r="B5" s="20" t="inlineStr">
        <is>
          <t>P イメージ取得など先行時間</t>
        </is>
      </c>
      <c r="C5" s="21" t="n">
        <v>60</v>
      </c>
      <c r="D5" s="20" t="inlineStr">
        <is>
          <t>秒</t>
        </is>
      </c>
      <c r="E5" s="22" t="n">
        <v>0</v>
      </c>
      <c r="F5" s="22" t="n">
        <v>600</v>
      </c>
      <c r="G5" s="20" t="inlineStr">
        <is>
          <t>全イメージの取得と、タスクのネットワーク準備。チェーンの中では1回だけ先頭に足す。</t>
        </is>
      </c>
      <c r="H5" s="20" t="inlineStr">
        <is>
          <t>DescribeTasks の pullStartedAt と pullStoppedAt の差。大きいイメージの日を使う。</t>
        </is>
      </c>
    </row>
    <row r="6" ht="48" customHeight="1">
      <c r="A6" s="19" t="inlineStr">
        <is>
          <t>B_adot</t>
        </is>
      </c>
      <c r="B6" s="20" t="inlineStr">
        <is>
          <t>B_adot ADOTが応答できるまでの時間</t>
        </is>
      </c>
      <c r="C6" s="21" t="n">
        <v>30</v>
      </c>
      <c r="D6" s="20" t="inlineStr">
        <is>
          <t>秒</t>
        </is>
      </c>
      <c r="E6" s="22" t="n">
        <v>1</v>
      </c>
      <c r="F6" s="22" t="n">
        <v>600</v>
      </c>
      <c r="G6" s="20" t="inlineStr">
        <is>
          <t>ADOTのプロセス開始から、13133の検査が成功する準備ができるまで。Go製コレクタは通常これより短い。遅い日の予算。</t>
        </is>
      </c>
      <c r="H6" s="20" t="inlineStr">
        <is>
          <t>コレクタのログでパイプライン開始が出た時刻。コンテナの started から測る。</t>
        </is>
      </c>
    </row>
    <row r="7" ht="48" customHeight="1">
      <c r="A7" s="19" t="inlineStr">
        <is>
          <t>B_be</t>
        </is>
      </c>
      <c r="B7" s="20" t="inlineStr">
        <is>
          <t>B_be バックエンドの準備完了</t>
        </is>
      </c>
      <c r="C7" s="21" t="n">
        <v>210</v>
      </c>
      <c r="D7" s="20" t="inlineStr">
        <is>
          <t>秒</t>
        </is>
      </c>
      <c r="E7" s="22" t="n">
        <v>1</v>
      </c>
      <c r="F7" s="22" t="n">
        <v>600</v>
      </c>
      <c r="G7" s="20" t="inlineStr">
        <is>
          <t>バックエンドのプロセス開始から、準備完了の検査が成功するまで。startPeriod 210秒の根拠として置いた予算。</t>
        </is>
      </c>
      <c r="H7" s="20" t="inlineStr">
        <is>
          <t>アプリログの listen と、コンテナ検査の初回成功。サイドカーが同じタスクにいる状態で測る。</t>
        </is>
      </c>
    </row>
    <row r="8" ht="48" customHeight="1">
      <c r="A8" s="19" t="inlineStr">
        <is>
          <t>B_fe</t>
        </is>
      </c>
      <c r="B8" s="20" t="inlineStr">
        <is>
          <t>B_fe フロントの準備完了</t>
        </is>
      </c>
      <c r="C8" s="21" t="n">
        <v>210</v>
      </c>
      <c r="D8" s="20" t="inlineStr">
        <is>
          <t>秒</t>
        </is>
      </c>
      <c r="E8" s="22" t="n">
        <v>1</v>
      </c>
      <c r="F8" s="22" t="n">
        <v>600</v>
      </c>
      <c r="G8" s="20" t="inlineStr">
        <is>
          <t>フロントのプロセス開始から、ALBと同じ準備完了パスが200を返すまで。</t>
        </is>
      </c>
      <c r="H8" s="20" t="inlineStr">
        <is>
          <t>フロントのログと、ALBターゲットが成功を返し始めた時刻。</t>
        </is>
      </c>
    </row>
    <row r="9" ht="48" customHeight="1">
      <c r="A9" s="19" t="inlineStr">
        <is>
          <t>B_cw</t>
        </is>
      </c>
      <c r="B9" s="20" t="inlineStr">
        <is>
          <t>B_cw CloudWatch Agentの起動</t>
        </is>
      </c>
      <c r="C9" s="21" t="n">
        <v>30</v>
      </c>
      <c r="D9" s="20" t="inlineStr">
        <is>
          <t>秒</t>
        </is>
      </c>
      <c r="E9" s="22" t="n">
        <v>1</v>
      </c>
      <c r="F9" s="22" t="n">
        <v>600</v>
      </c>
      <c r="G9" s="20" t="inlineStr">
        <is>
          <t>プロセス検査が成功するまでの予算。依存が無いので直列時間には入らない。</t>
        </is>
      </c>
      <c r="H9" s="20" t="inlineStr">
        <is>
          <t>エージェントのプロセスが現れた時刻。</t>
        </is>
      </c>
    </row>
    <row r="10" ht="48" customHeight="1">
      <c r="A10" s="19" t="inlineStr">
        <is>
          <t>I_adot</t>
        </is>
      </c>
      <c r="B10" s="20" t="inlineStr">
        <is>
          <t>I_adot ADOTの検査間隔</t>
        </is>
      </c>
      <c r="C10" s="21" t="n">
        <v>5</v>
      </c>
      <c r="D10" s="20" t="inlineStr">
        <is>
          <t>秒</t>
        </is>
      </c>
      <c r="E10" s="22" t="n">
        <v>5</v>
      </c>
      <c r="F10" s="22" t="n">
        <v>300</v>
      </c>
      <c r="G10" s="20" t="inlineStr">
        <is>
          <t>コンテナヘルスチェックの interval。最小5秒。短いほど HEALTHY の検出が速い。</t>
        </is>
      </c>
      <c r="H10" s="20" t="inlineStr">
        <is>
          <t>タスク定義の healthCheck.interval。</t>
        </is>
      </c>
    </row>
    <row r="11" ht="48" customHeight="1">
      <c r="A11" s="19" t="inlineStr">
        <is>
          <t>I_be</t>
        </is>
      </c>
      <c r="B11" s="20" t="inlineStr">
        <is>
          <t>I_be バックエンドの検査間隔</t>
        </is>
      </c>
      <c r="C11" s="21" t="n">
        <v>10</v>
      </c>
      <c r="D11" s="20" t="inlineStr">
        <is>
          <t>秒</t>
        </is>
      </c>
      <c r="E11" s="22" t="n">
        <v>5</v>
      </c>
      <c r="F11" s="22" t="n">
        <v>300</v>
      </c>
      <c r="G11" s="20" t="inlineStr">
        <is>
          <t>準備完了の検出遅れの上限にほぼ等しい。</t>
        </is>
      </c>
      <c r="H11" s="20" t="inlineStr">
        <is>
          <t>タスク定義。</t>
        </is>
      </c>
    </row>
    <row r="12" ht="48" customHeight="1">
      <c r="A12" s="19" t="inlineStr">
        <is>
          <t>I_fe</t>
        </is>
      </c>
      <c r="B12" s="20" t="inlineStr">
        <is>
          <t>I_fe フロントの検査間隔</t>
        </is>
      </c>
      <c r="C12" s="21" t="n">
        <v>10</v>
      </c>
      <c r="D12" s="20" t="inlineStr">
        <is>
          <t>秒</t>
        </is>
      </c>
      <c r="E12" s="22" t="n">
        <v>5</v>
      </c>
      <c r="F12" s="22" t="n">
        <v>300</v>
      </c>
      <c r="G12" s="20" t="inlineStr">
        <is>
          <t>コンテナ側の検査。ALBの間隔とは別のつまみ。</t>
        </is>
      </c>
      <c r="H12" s="20" t="inlineStr">
        <is>
          <t>タスク定義。</t>
        </is>
      </c>
    </row>
    <row r="13" ht="48" customHeight="1">
      <c r="A13" s="19" t="inlineStr">
        <is>
          <t>I_alb</t>
        </is>
      </c>
      <c r="B13" s="20" t="inlineStr">
        <is>
          <t>I_alb 推奨ALBの間隔</t>
        </is>
      </c>
      <c r="C13" s="21" t="n">
        <v>10</v>
      </c>
      <c r="D13" s="20" t="inlineStr">
        <is>
          <t>秒</t>
        </is>
      </c>
      <c r="E13" s="22" t="n">
        <v>5</v>
      </c>
      <c r="F13" s="22" t="n">
        <v>300</v>
      </c>
      <c r="G13" s="20" t="inlineStr">
        <is>
          <t>ターゲットグループの HealthCheckIntervalSeconds。推奨値。</t>
        </is>
      </c>
      <c r="H13" s="20" t="inlineStr">
        <is>
          <t>ターゲットグループの属性。</t>
        </is>
      </c>
    </row>
    <row r="14" ht="48" customHeight="1">
      <c r="A14" s="19" t="inlineStr">
        <is>
          <t>H_alb</t>
        </is>
      </c>
      <c r="B14" s="20" t="inlineStr">
        <is>
          <t>H_alb 推奨ALBの健全しきい値</t>
        </is>
      </c>
      <c r="C14" s="21" t="n">
        <v>2</v>
      </c>
      <c r="D14" s="20" t="inlineStr">
        <is>
          <t>回</t>
        </is>
      </c>
      <c r="E14" s="22" t="n">
        <v>2</v>
      </c>
      <c r="F14" s="22" t="n">
        <v>10</v>
      </c>
      <c r="G14" s="20" t="inlineStr">
        <is>
          <t>unhealthy から healthy へ戻す連続成功回数。初期登録のままならこの回数は使われない。</t>
        </is>
      </c>
      <c r="H14" s="20" t="inlineStr">
        <is>
          <t>HealthyThresholdCount。最小2。</t>
        </is>
      </c>
    </row>
    <row r="15" ht="48" customHeight="1">
      <c r="A15" s="19" t="inlineStr">
        <is>
          <t>U_alb</t>
        </is>
      </c>
      <c r="B15" s="20" t="inlineStr">
        <is>
          <t>U_alb 推奨ALBの不健全しきい値</t>
        </is>
      </c>
      <c r="C15" s="21" t="n">
        <v>3</v>
      </c>
      <c r="D15" s="20" t="inlineStr">
        <is>
          <t>回</t>
        </is>
      </c>
      <c r="E15" s="22" t="n">
        <v>2</v>
      </c>
      <c r="F15" s="22" t="n">
        <v>10</v>
      </c>
      <c r="G15" s="20" t="inlineStr">
        <is>
          <t>連続失敗がこの回数で unhealthy。起動がこの回数×間隔を超えると、復帰に健全しきい値が必要になる。</t>
        </is>
      </c>
      <c r="H15" s="20" t="inlineStr">
        <is>
          <t>UnhealthyThresholdCount。</t>
        </is>
      </c>
    </row>
    <row r="16" ht="48" customHeight="1">
      <c r="A16" s="19" t="inlineStr">
        <is>
          <t>Margin</t>
        </is>
      </c>
      <c r="B16" s="20" t="inlineStr">
        <is>
          <t>余白</t>
        </is>
      </c>
      <c r="C16" s="21" t="n">
        <v>60</v>
      </c>
      <c r="D16" s="20" t="inlineStr">
        <is>
          <t>秒</t>
        </is>
      </c>
      <c r="E16" s="22" t="n">
        <v>0</v>
      </c>
      <c r="F16" s="22" t="n">
        <v>300</v>
      </c>
      <c r="G16" s="20" t="inlineStr">
        <is>
          <t>検査のずれ、スケジューラの遅れ、コールドスタートのばらつき。</t>
        </is>
      </c>
      <c r="H16" s="20" t="inlineStr">
        <is>
          <t>デプロイを数回見て、計算との差が余白を超えたら増やす。</t>
        </is>
      </c>
    </row>
    <row r="17" ht="48" customHeight="1">
      <c r="A17" s="19" t="inlineStr">
        <is>
          <t>SpPad</t>
        </is>
      </c>
      <c r="B17" s="20" t="inlineStr">
        <is>
          <t>startPeriodの余白</t>
        </is>
      </c>
      <c r="C17" s="21" t="n">
        <v>30</v>
      </c>
      <c r="D17" s="20" t="inlineStr">
        <is>
          <t>秒</t>
        </is>
      </c>
      <c r="E17" s="22" t="n">
        <v>0</v>
      </c>
      <c r="F17" s="22" t="n">
        <v>300</v>
      </c>
      <c r="G17" s="20" t="inlineStr">
        <is>
          <t>起動予算に足して startPeriod にする。上限300で頭打ち。</t>
        </is>
      </c>
      <c r="H17" s="20" t="inlineStr">
        <is>
          <t>起動予算のばらつき。</t>
        </is>
      </c>
    </row>
    <row r="18" ht="48" customHeight="1">
      <c r="A18" s="19" t="inlineStr">
        <is>
          <t>GraceNow</t>
        </is>
      </c>
      <c r="B18" s="20" t="inlineStr">
        <is>
          <t>現行の猶予</t>
        </is>
      </c>
      <c r="C18" s="21" t="n">
        <v>300</v>
      </c>
      <c r="D18" s="20" t="inlineStr">
        <is>
          <t>秒</t>
        </is>
      </c>
      <c r="E18" s="22" t="n">
        <v>0</v>
      </c>
      <c r="F18" s="22" t="n">
        <v>2147483647</v>
      </c>
      <c r="G18" s="20" t="inlineStr">
        <is>
          <t>いまサービスに入っている healthCheckGracePeriodSeconds。</t>
        </is>
      </c>
      <c r="H18" s="20" t="inlineStr">
        <is>
          <t>サービス定義。ターゲットグループの登録解除遅延と混同しない。</t>
        </is>
      </c>
    </row>
    <row r="19" ht="48" customHeight="1">
      <c r="A19" s="19" t="inlineStr">
        <is>
          <t>SpNow</t>
        </is>
      </c>
      <c r="B19" s="20" t="inlineStr">
        <is>
          <t>現行の startPeriod</t>
        </is>
      </c>
      <c r="C19" s="21" t="n">
        <v>210</v>
      </c>
      <c r="D19" s="20" t="inlineStr">
        <is>
          <t>秒</t>
        </is>
      </c>
      <c r="E19" s="22" t="n">
        <v>0</v>
      </c>
      <c r="F19" s="22" t="n">
        <v>300</v>
      </c>
      <c r="G19" s="20" t="inlineStr">
        <is>
          <t>フロントとバックエンドにいま入っている値。</t>
        </is>
      </c>
      <c r="H19" s="20" t="inlineStr">
        <is>
          <t>タスク定義。</t>
        </is>
      </c>
    </row>
    <row r="20" ht="48" customHeight="1">
      <c r="A20" s="19" t="inlineStr">
        <is>
          <t>I_alb_now</t>
        </is>
      </c>
      <c r="B20" s="20" t="inlineStr">
        <is>
          <t>現行ALBの間隔（不明なら既定）</t>
        </is>
      </c>
      <c r="C20" s="21" t="n">
        <v>30</v>
      </c>
      <c r="D20" s="20" t="inlineStr">
        <is>
          <t>秒</t>
        </is>
      </c>
      <c r="E20" s="22" t="n">
        <v>5</v>
      </c>
      <c r="F20" s="22" t="n">
        <v>300</v>
      </c>
      <c r="G20" s="20" t="inlineStr">
        <is>
          <t>既定は30秒。実値が違えばここを直す。</t>
        </is>
      </c>
      <c r="H20" s="20" t="inlineStr">
        <is>
          <t>ターゲットグループ。</t>
        </is>
      </c>
    </row>
    <row r="21" ht="48" customHeight="1">
      <c r="A21" s="19" t="inlineStr">
        <is>
          <t>H_alb_now</t>
        </is>
      </c>
      <c r="B21" s="20" t="inlineStr">
        <is>
          <t>現行ALBの健全しきい値（不明なら既定）</t>
        </is>
      </c>
      <c r="C21" s="21" t="n">
        <v>5</v>
      </c>
      <c r="D21" s="20" t="inlineStr">
        <is>
          <t>回</t>
        </is>
      </c>
      <c r="E21" s="22" t="n">
        <v>2</v>
      </c>
      <c r="F21" s="22" t="n">
        <v>10</v>
      </c>
      <c r="G21" s="20" t="inlineStr">
        <is>
          <t>既定は5。unhealthyからの復帰に間隔×この回数がかかる。</t>
        </is>
      </c>
      <c r="H21" s="20" t="inlineStr">
        <is>
          <t>ターゲットグループ。</t>
        </is>
      </c>
    </row>
    <row r="22" ht="48" customHeight="1">
      <c r="A22" s="19" t="inlineStr">
        <is>
          <t>U_alb_now</t>
        </is>
      </c>
      <c r="B22" s="20" t="inlineStr">
        <is>
          <t>現行ALBの不健全しきい値（不明なら既定）</t>
        </is>
      </c>
      <c r="C22" s="21" t="n">
        <v>2</v>
      </c>
      <c r="D22" s="20" t="inlineStr">
        <is>
          <t>回</t>
        </is>
      </c>
      <c r="E22" s="22" t="n">
        <v>2</v>
      </c>
      <c r="F22" s="22" t="n">
        <v>10</v>
      </c>
      <c r="G22" s="20" t="inlineStr">
        <is>
          <t>既定は2。30秒間隔なら約60秒で起動中のターゲットがunhealthyになる。</t>
        </is>
      </c>
      <c r="H22" s="20" t="inlineStr">
        <is>
          <t>ターゲットグループ。</t>
        </is>
      </c>
    </row>
    <row r="23">
      <c r="A23" s="3" t="n"/>
      <c r="B23" s="3" t="n"/>
      <c r="C23" s="3" t="n"/>
      <c r="D23" s="3" t="n"/>
      <c r="E23" s="3" t="n"/>
      <c r="F23" s="3" t="n"/>
      <c r="G23" s="3" t="n"/>
      <c r="H23" s="3" t="n"/>
    </row>
    <row r="24" ht="24" customHeight="1">
      <c r="A24" s="6" t="inlineStr">
        <is>
          <t>参考入力: 実測が短かった場合の例（パターンE）。上の本番予算とは別です。</t>
        </is>
      </c>
      <c r="B24" s="6" t="n"/>
      <c r="C24" s="6" t="n"/>
      <c r="D24" s="6" t="n"/>
      <c r="E24" s="6" t="n"/>
      <c r="F24" s="6" t="n"/>
      <c r="G24" s="6" t="n"/>
      <c r="H24" s="6" t="n"/>
    </row>
    <row r="25" ht="32" customHeight="1">
      <c r="A25" s="11" t="inlineStr">
        <is>
          <t>記号</t>
        </is>
      </c>
      <c r="B25" s="11" t="inlineStr">
        <is>
          <t>意味</t>
        </is>
      </c>
      <c r="C25" s="11" t="inlineStr">
        <is>
          <t>入力値</t>
        </is>
      </c>
      <c r="D25" s="11" t="inlineStr">
        <is>
          <t>単位</t>
        </is>
      </c>
      <c r="E25" s="11" t="inlineStr">
        <is>
          <t>下限</t>
        </is>
      </c>
      <c r="F25" s="11" t="inlineStr">
        <is>
          <t>上限</t>
        </is>
      </c>
      <c r="G25" s="11" t="inlineStr">
        <is>
          <t>この予算の意味</t>
        </is>
      </c>
      <c r="H25" s="11" t="inlineStr">
        <is>
          <t>測り方</t>
        </is>
      </c>
    </row>
    <row r="26" ht="28" customHeight="1">
      <c r="A26" s="20" t="inlineStr">
        <is>
          <t>E_P</t>
        </is>
      </c>
      <c r="B26" s="20" t="inlineStr">
        <is>
          <t>例 P</t>
        </is>
      </c>
      <c r="C26" s="21" t="n">
        <v>20</v>
      </c>
      <c r="D26" s="20" t="inlineStr">
        <is>
          <t>秒</t>
        </is>
      </c>
      <c r="E26" s="22" t="n">
        <v>0</v>
      </c>
      <c r="F26" s="22" t="n">
        <v>600</v>
      </c>
      <c r="G26" s="20" t="inlineStr">
        <is>
          <t>取得が短い日。</t>
        </is>
      </c>
      <c r="H26" s="20" t="inlineStr">
        <is>
          <t>例。</t>
        </is>
      </c>
    </row>
    <row r="27" ht="28" customHeight="1">
      <c r="A27" s="20" t="inlineStr">
        <is>
          <t>E_adot</t>
        </is>
      </c>
      <c r="B27" s="20" t="inlineStr">
        <is>
          <t>例 ADOT準備</t>
        </is>
      </c>
      <c r="C27" s="21" t="n">
        <v>10</v>
      </c>
      <c r="D27" s="20" t="inlineStr">
        <is>
          <t>秒</t>
        </is>
      </c>
      <c r="E27" s="22" t="n">
        <v>1</v>
      </c>
      <c r="F27" s="22" t="n">
        <v>600</v>
      </c>
      <c r="G27" s="20" t="inlineStr">
        <is>
          <t>コレクタが速い日。</t>
        </is>
      </c>
      <c r="H27" s="20" t="inlineStr">
        <is>
          <t>例。</t>
        </is>
      </c>
    </row>
    <row r="28" ht="28" customHeight="1">
      <c r="A28" s="20" t="inlineStr">
        <is>
          <t>E_be</t>
        </is>
      </c>
      <c r="B28" s="20" t="inlineStr">
        <is>
          <t>例 バックエンド準備</t>
        </is>
      </c>
      <c r="C28" s="21" t="n">
        <v>60</v>
      </c>
      <c r="D28" s="20" t="inlineStr">
        <is>
          <t>秒</t>
        </is>
      </c>
      <c r="E28" s="22" t="n">
        <v>1</v>
      </c>
      <c r="F28" s="22" t="n">
        <v>600</v>
      </c>
      <c r="G28" s="20" t="inlineStr">
        <is>
          <t>バックエンドが1分で準備完了する日。</t>
        </is>
      </c>
      <c r="H28" s="20" t="inlineStr">
        <is>
          <t>例。</t>
        </is>
      </c>
    </row>
    <row r="29" ht="28" customHeight="1">
      <c r="A29" s="20" t="inlineStr">
        <is>
          <t>E_fe</t>
        </is>
      </c>
      <c r="B29" s="20" t="inlineStr">
        <is>
          <t>例 フロント準備</t>
        </is>
      </c>
      <c r="C29" s="21" t="n">
        <v>45</v>
      </c>
      <c r="D29" s="20" t="inlineStr">
        <is>
          <t>秒</t>
        </is>
      </c>
      <c r="E29" s="22" t="n">
        <v>1</v>
      </c>
      <c r="F29" s="22" t="n">
        <v>600</v>
      </c>
      <c r="G29" s="20" t="inlineStr">
        <is>
          <t>フロントが45秒で準備完了する日。</t>
        </is>
      </c>
      <c r="H29" s="20" t="inlineStr">
        <is>
          <t>例。</t>
        </is>
      </c>
    </row>
    <row r="30">
      <c r="A30" s="3" t="n"/>
      <c r="B30" s="3" t="n"/>
      <c r="C30" s="3" t="n"/>
      <c r="D30" s="3" t="n"/>
      <c r="E30" s="3" t="n"/>
      <c r="F30" s="3" t="n"/>
      <c r="G30" s="3" t="n"/>
      <c r="H30" s="3" t="n"/>
    </row>
    <row r="31" ht="32" customHeight="1">
      <c r="A31" s="23" t="inlineStr">
        <is>
          <t>本番の判断は上のブロックです。下の例は「起動が本当に短ければ直列依存でも猶予は短い」ことを示す教材です。間隔としきい値は上の推奨ALBを共用します。</t>
        </is>
      </c>
      <c r="B31" s="3" t="n"/>
      <c r="C31" s="3" t="n"/>
      <c r="D31" s="3" t="n"/>
      <c r="E31" s="3" t="n"/>
      <c r="F31" s="3" t="n"/>
      <c r="G31" s="3" t="n"/>
      <c r="H31" s="3" t="n"/>
    </row>
  </sheetData>
  <autoFilter ref="A4:H22"/>
  <mergeCells count="4">
    <mergeCell ref="A31:H31"/>
    <mergeCell ref="A24:H24"/>
    <mergeCell ref="A2:H2"/>
    <mergeCell ref="A1:H1"/>
  </mergeCells>
  <dataValidations count="22">
    <dataValidation sqref="C5" showDropDown="0" showInputMessage="1" showErrorMessage="1" allowBlank="0" errorTitle="範囲外" error="P イメージ取得など先行時間 は 0 から 600 の整数です。" promptTitle="P イメージ取得など先行時間" prompt="0 から 600 の整数を入力します。" type="whole" operator="between">
      <formula1>0</formula1>
      <formula2>600</formula2>
    </dataValidation>
    <dataValidation sqref="C6" showDropDown="0" showInputMessage="1" showErrorMessage="1" allowBlank="0" errorTitle="範囲外" error="B_adot ADOTが応答できるまでの時間 は 1 から 600 の整数です。" promptTitle="B_adot ADOTが応答できるまでの時間" prompt="1 から 600 の整数を入力します。" type="whole" operator="between">
      <formula1>1</formula1>
      <formula2>600</formula2>
    </dataValidation>
    <dataValidation sqref="C7" showDropDown="0" showInputMessage="1" showErrorMessage="1" allowBlank="0" errorTitle="範囲外" error="B_be バックエンドの準備完了 は 1 から 600 の整数です。" promptTitle="B_be バックエンドの準備完了" prompt="1 から 600 の整数を入力します。" type="whole" operator="between">
      <formula1>1</formula1>
      <formula2>600</formula2>
    </dataValidation>
    <dataValidation sqref="C8" showDropDown="0" showInputMessage="1" showErrorMessage="1" allowBlank="0" errorTitle="範囲外" error="B_fe フロントの準備完了 は 1 から 600 の整数です。" promptTitle="B_fe フロントの準備完了" prompt="1 から 600 の整数を入力します。" type="whole" operator="between">
      <formula1>1</formula1>
      <formula2>600</formula2>
    </dataValidation>
    <dataValidation sqref="C9" showDropDown="0" showInputMessage="1" showErrorMessage="1" allowBlank="0" errorTitle="範囲外" error="B_cw CloudWatch Agentの起動 は 1 から 600 の整数です。" promptTitle="B_cw CloudWatch Agentの起動" prompt="1 から 600 の整数を入力します。" type="whole" operator="between">
      <formula1>1</formula1>
      <formula2>600</formula2>
    </dataValidation>
    <dataValidation sqref="C10" showDropDown="0" showInputMessage="1" showErrorMessage="1" allowBlank="0" errorTitle="範囲外" error="I_adot ADOTの検査間隔 は 5 から 300 の整数です。" promptTitle="I_adot ADOTの検査間隔" prompt="5 から 300 の整数を入力します。" type="whole" operator="between">
      <formula1>5</formula1>
      <formula2>300</formula2>
    </dataValidation>
    <dataValidation sqref="C11" showDropDown="0" showInputMessage="1" showErrorMessage="1" allowBlank="0" errorTitle="範囲外" error="I_be バックエンドの検査間隔 は 5 から 300 の整数です。" promptTitle="I_be バックエンドの検査間隔" prompt="5 から 300 の整数を入力します。" type="whole" operator="between">
      <formula1>5</formula1>
      <formula2>300</formula2>
    </dataValidation>
    <dataValidation sqref="C12" showDropDown="0" showInputMessage="1" showErrorMessage="1" allowBlank="0" errorTitle="範囲外" error="I_fe フロントの検査間隔 は 5 から 300 の整数です。" promptTitle="I_fe フロントの検査間隔" prompt="5 から 300 の整数を入力します。" type="whole" operator="between">
      <formula1>5</formula1>
      <formula2>300</formula2>
    </dataValidation>
    <dataValidation sqref="C13" showDropDown="0" showInputMessage="1" showErrorMessage="1" allowBlank="0" errorTitle="範囲外" error="I_alb 推奨ALBの間隔 は 5 から 300 の整数です。" promptTitle="I_alb 推奨ALBの間隔" prompt="5 から 300 の整数を入力します。" type="whole" operator="between">
      <formula1>5</formula1>
      <formula2>300</formula2>
    </dataValidation>
    <dataValidation sqref="C14" showDropDown="0" showInputMessage="1" showErrorMessage="1" allowBlank="0" errorTitle="範囲外" error="H_alb 推奨ALBの健全しきい値 は 2 から 10 の整数です。" promptTitle="H_alb 推奨ALBの健全しきい値" prompt="2 から 10 の整数を入力します。" type="whole" operator="between">
      <formula1>2</formula1>
      <formula2>10</formula2>
    </dataValidation>
    <dataValidation sqref="C15" showDropDown="0" showInputMessage="1" showErrorMessage="1" allowBlank="0" errorTitle="範囲外" error="U_alb 推奨ALBの不健全しきい値 は 2 から 10 の整数です。" promptTitle="U_alb 推奨ALBの不健全しきい値" prompt="2 から 10 の整数を入力します。" type="whole" operator="between">
      <formula1>2</formula1>
      <formula2>10</formula2>
    </dataValidation>
    <dataValidation sqref="C16" showDropDown="0" showInputMessage="1" showErrorMessage="1" allowBlank="0" errorTitle="範囲外" error="余白 は 0 から 300 の整数です。" promptTitle="余白" prompt="0 から 300 の整数を入力します。" type="whole" operator="between">
      <formula1>0</formula1>
      <formula2>300</formula2>
    </dataValidation>
    <dataValidation sqref="C17" showDropDown="0" showInputMessage="1" showErrorMessage="1" allowBlank="0" errorTitle="範囲外" error="startPeriodの余白 は 0 から 300 の整数です。" promptTitle="startPeriodの余白" prompt="0 から 300 の整数を入力します。" type="whole" operator="between">
      <formula1>0</formula1>
      <formula2>300</formula2>
    </dataValidation>
    <dataValidation sqref="C18" showDropDown="0" showInputMessage="1" showErrorMessage="1" allowBlank="0" errorTitle="範囲外" error="現行の猶予 は 0 から 2147483647 の整数です。" promptTitle="現行の猶予" prompt="0 から 2147483647 の整数を入力します。" type="whole" operator="between">
      <formula1>0</formula1>
      <formula2>2147483647</formula2>
    </dataValidation>
    <dataValidation sqref="C19" showDropDown="0" showInputMessage="1" showErrorMessage="1" allowBlank="0" errorTitle="範囲外" error="現行の startPeriod は 0 から 300 の整数です。" promptTitle="現行の startPeriod" prompt="0 から 300 の整数を入力します。" type="whole" operator="between">
      <formula1>0</formula1>
      <formula2>300</formula2>
    </dataValidation>
    <dataValidation sqref="C20" showDropDown="0" showInputMessage="1" showErrorMessage="1" allowBlank="0" errorTitle="範囲外" error="現行ALBの間隔（不明なら既定） は 5 から 300 の整数です。" promptTitle="現行ALBの間隔（不明なら既定）" prompt="5 から 300 の整数を入力します。" type="whole" operator="between">
      <formula1>5</formula1>
      <formula2>300</formula2>
    </dataValidation>
    <dataValidation sqref="C21" showDropDown="0" showInputMessage="1" showErrorMessage="1" allowBlank="0" errorTitle="範囲外" error="現行ALBの健全しきい値（不明なら既定） は 2 から 10 の整数です。" promptTitle="現行ALBの健全しきい値（不明なら既定）" prompt="2 から 10 の整数を入力します。" type="whole" operator="between">
      <formula1>2</formula1>
      <formula2>10</formula2>
    </dataValidation>
    <dataValidation sqref="C22" showDropDown="0" showInputMessage="1" showErrorMessage="1" allowBlank="0" errorTitle="範囲外" error="現行ALBの不健全しきい値（不明なら既定） は 2 から 10 の整数です。" promptTitle="現行ALBの不健全しきい値（不明なら既定）" prompt="2 から 10 の整数を入力します。" type="whole" operator="between">
      <formula1>2</formula1>
      <formula2>10</formula2>
    </dataValidation>
    <dataValidation sqref="C26" showDropDown="0" showInputMessage="1" showErrorMessage="1" allowBlank="0" errorTitle="範囲外" error="例 P は 0 から 600 の整数です。" promptTitle="例 P" prompt="0 から 600 の整数を入力します。" type="whole" operator="between">
      <formula1>0</formula1>
      <formula2>600</formula2>
    </dataValidation>
    <dataValidation sqref="C27" showDropDown="0" showInputMessage="1" showErrorMessage="1" allowBlank="0" errorTitle="範囲外" error="例 ADOT準備 は 1 から 600 の整数です。" promptTitle="例 ADOT準備" prompt="1 から 600 の整数を入力します。" type="whole" operator="between">
      <formula1>1</formula1>
      <formula2>600</formula2>
    </dataValidation>
    <dataValidation sqref="C28" showDropDown="0" showInputMessage="1" showErrorMessage="1" allowBlank="0" errorTitle="範囲外" error="例 バックエンド準備 は 1 から 600 の整数です。" promptTitle="例 バックエンド準備" prompt="1 から 600 の整数を入力します。" type="whole" operator="between">
      <formula1>1</formula1>
      <formula2>600</formula2>
    </dataValidation>
    <dataValidation sqref="C29" showDropDown="0" showInputMessage="1" showErrorMessage="1" allowBlank="0" errorTitle="範囲外" error="例 フロント準備 は 1 から 600 の整数です。" promptTitle="例 フロント準備" prompt="1 から 600 の整数を入力します。" type="whole" operator="between">
      <formula1>1</formula1>
      <formula2>600</formula2>
    </dataValidation>
  </dataValidation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前提</oddHeader>
    <oddFooter>&amp;L&amp;"Meiryo UI"&amp;8 前提シートの灰色セルを実測に置き換えると、計算シート以降が再計算される&amp;R&amp;"Meiryo UI"&amp;8 2026-10-07 時点の公開仕様    &amp;P /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4A4A4A"/>
    <outlinePr summaryBelow="1" summaryRight="1"/>
    <pageSetUpPr fitToPage="1"/>
  </sheetPr>
  <dimension ref="A1:E59"/>
  <sheetViews>
    <sheetView showGridLines="0" view="normal" zoomScale="110" zoomScaleNormal="110" workbookViewId="0">
      <pane ySplit="4" topLeftCell="A5" activePane="bottomLeft" state="frozen"/>
      <selection pane="bottomLeft" activeCell="A1" sqref="A1"/>
    </sheetView>
  </sheetViews>
  <sheetFormatPr baseColWidth="8" defaultColWidth="12" defaultRowHeight="18"/>
  <cols>
    <col width="28" customWidth="1" min="1" max="1"/>
    <col width="62" customWidth="1" min="2" max="2"/>
    <col width="22" customWidth="1" min="3" max="3"/>
    <col width="22" customWidth="1" min="4" max="4"/>
    <col width="46" customWidth="1" min="5" max="5"/>
  </cols>
  <sheetData>
    <row r="1" ht="32" customHeight="1">
      <c r="A1" s="1" t="inlineStr">
        <is>
          <t>計算</t>
        </is>
      </c>
      <c r="B1" s="1" t="n"/>
      <c r="C1" s="1" t="n"/>
      <c r="D1" s="1" t="n"/>
      <c r="E1" s="1" t="n"/>
    </row>
    <row r="2" ht="36" customHeight="1">
      <c r="A2" s="2" t="inlineStr">
        <is>
          <t>C列は安全側（Pを含む）。D列は取得後起算（P=0）。どちらも07_前提を参照します。</t>
        </is>
      </c>
      <c r="B2" s="2" t="n"/>
      <c r="C2" s="2" t="n"/>
      <c r="D2" s="2" t="n"/>
      <c r="E2" s="2" t="n"/>
    </row>
    <row r="3">
      <c r="A3" s="3" t="n"/>
      <c r="B3" s="3" t="n"/>
      <c r="C3" s="3" t="n"/>
      <c r="D3" s="3" t="n"/>
      <c r="E3" s="3" t="n"/>
    </row>
    <row r="4" ht="32" customHeight="1">
      <c r="A4" s="11" t="inlineStr">
        <is>
          <t>キー</t>
        </is>
      </c>
      <c r="B4" s="11" t="inlineStr">
        <is>
          <t>意味</t>
        </is>
      </c>
      <c r="C4" s="11" t="inlineStr">
        <is>
          <t>安全側（秒）</t>
        </is>
      </c>
      <c r="D4" s="11" t="inlineStr">
        <is>
          <t>取得後起算（秒）</t>
        </is>
      </c>
      <c r="E4" s="11" t="inlineStr">
        <is>
          <t>式の意味</t>
        </is>
      </c>
    </row>
    <row r="5" ht="36" customHeight="1">
      <c r="A5" s="10" t="inlineStr">
        <is>
          <t>adot_h</t>
        </is>
      </c>
      <c r="B5" s="10" t="inlineStr">
        <is>
          <t>ADOTがHEALTHYになる最悪（プロセス開始から）</t>
        </is>
      </c>
      <c r="C5" s="12">
        <f>B_adot+I_adot</f>
        <v/>
      </c>
      <c r="D5" s="12">
        <f>B_adot+I_adot</f>
        <v/>
      </c>
      <c r="E5" s="10" t="inlineStr">
        <is>
          <t>準備完了＋最大1間隔。最初の検査は間隔秒後。</t>
        </is>
      </c>
    </row>
    <row r="6" ht="36" customHeight="1">
      <c r="A6" s="9" t="inlineStr">
        <is>
          <t>be_h</t>
        </is>
      </c>
      <c r="B6" s="9" t="inlineStr">
        <is>
          <t>バックエンドがHEALTHYになる最悪（プロセス開始から）</t>
        </is>
      </c>
      <c r="C6" s="13">
        <f>B_be+I_be</f>
        <v/>
      </c>
      <c r="D6" s="13">
        <f>B_be+I_be</f>
        <v/>
      </c>
      <c r="E6" s="9" t="inlineStr">
        <is>
          <t>成功1回でHEALTHY。しきい値回数は不要。</t>
        </is>
      </c>
    </row>
    <row r="7" ht="36" customHeight="1">
      <c r="A7" s="10" t="inlineStr">
        <is>
          <t>fe_h</t>
        </is>
      </c>
      <c r="B7" s="10" t="inlineStr">
        <is>
          <t>フロントコンテナがHEALTHYになる最悪（プロセス開始から）</t>
        </is>
      </c>
      <c r="C7" s="12">
        <f>B_fe+I_fe</f>
        <v/>
      </c>
      <c r="D7" s="12">
        <f>B_fe+I_fe</f>
        <v/>
      </c>
      <c r="E7" s="10" t="inlineStr">
        <is>
          <t>コンテナ検査は成功1回。ALBのしきい値とは別。</t>
        </is>
      </c>
    </row>
    <row r="8" ht="36" customHeight="1">
      <c r="A8" s="9" t="inlineStr">
        <is>
          <t>flip</t>
        </is>
      </c>
      <c r="B8" s="9" t="inlineStr">
        <is>
          <t>推奨ALBがunhealthyにするまでの失敗時間</t>
        </is>
      </c>
      <c r="C8" s="13">
        <f>U_alb*I_alb</f>
        <v/>
      </c>
      <c r="D8" s="13">
        <f>U_alb*I_alb</f>
        <v/>
      </c>
      <c r="E8" s="9" t="inlineStr">
        <is>
          <t>登録後、この秒数ぶん失敗が続くと故障札になる。</t>
        </is>
      </c>
    </row>
    <row r="9" ht="36" customHeight="1">
      <c r="A9" s="10" t="inlineStr">
        <is>
          <t>flip_now</t>
        </is>
      </c>
      <c r="B9" s="10" t="inlineStr">
        <is>
          <t>現行ALBがunhealthyにするまでの失敗時間</t>
        </is>
      </c>
      <c r="C9" s="12">
        <f>U_alb_now*I_alb_now</f>
        <v/>
      </c>
      <c r="D9" s="12">
        <f>U_alb_now*I_alb_now</f>
        <v/>
      </c>
      <c r="E9" s="10" t="inlineStr">
        <is>
          <t>既定なら2×30=60秒。</t>
        </is>
      </c>
    </row>
    <row r="10" ht="36" customHeight="1">
      <c r="A10" s="9" t="inlineStr">
        <is>
          <t>sp_adot</t>
        </is>
      </c>
      <c r="B10" s="9" t="inlineStr">
        <is>
          <t>ADOTのstartPeriod</t>
        </is>
      </c>
      <c r="C10" s="13">
        <f>MIN(300,B_adot+SpPad)</f>
        <v/>
      </c>
      <c r="D10" s="13">
        <f>MIN(300,B_adot+SpPad)</f>
        <v/>
      </c>
      <c r="E10" s="9" t="inlineStr">
        <is>
          <t>上限300。失敗の免責。成功は待たない。</t>
        </is>
      </c>
    </row>
    <row r="11" ht="36" customHeight="1">
      <c r="A11" s="10" t="inlineStr">
        <is>
          <t>sp_be</t>
        </is>
      </c>
      <c r="B11" s="10" t="inlineStr">
        <is>
          <t>バックエンドのstartPeriod</t>
        </is>
      </c>
      <c r="C11" s="12">
        <f>MIN(300,B_be+SpPad)</f>
        <v/>
      </c>
      <c r="D11" s="12">
        <f>MIN(300,B_be+SpPad)</f>
        <v/>
      </c>
      <c r="E11" s="10" t="inlineStr">
        <is>
          <t>210+30=240。上限内。</t>
        </is>
      </c>
    </row>
    <row r="12" ht="36" customHeight="1">
      <c r="A12" s="9" t="inlineStr">
        <is>
          <t>sp_fe</t>
        </is>
      </c>
      <c r="B12" s="9" t="inlineStr">
        <is>
          <t>フロントのstartPeriod</t>
        </is>
      </c>
      <c r="C12" s="13">
        <f>MIN(300,B_fe+SpPad)</f>
        <v/>
      </c>
      <c r="D12" s="13">
        <f>MIN(300,B_fe+SpPad)</f>
        <v/>
      </c>
      <c r="E12" s="9" t="inlineStr">
        <is>
          <t>210+30=240。</t>
        </is>
      </c>
    </row>
    <row r="13" ht="36" customHeight="1">
      <c r="A13" s="10" t="inlineStr">
        <is>
          <t>sp_cw</t>
        </is>
      </c>
      <c r="B13" s="10" t="inlineStr">
        <is>
          <t>CloudWatch AgentのstartPeriod</t>
        </is>
      </c>
      <c r="C13" s="12">
        <f>MIN(300,B_cw+SpPad)</f>
        <v/>
      </c>
      <c r="D13" s="12">
        <f>MIN(300,B_cw+SpPad)</f>
        <v/>
      </c>
      <c r="E13" s="10" t="inlineStr">
        <is>
          <t>直列時間には入らない。</t>
        </is>
      </c>
    </row>
    <row r="14" ht="44" customHeight="1">
      <c r="A14" s="9" t="inlineStr">
        <is>
          <t>st_adot</t>
        </is>
      </c>
      <c r="B14" s="9" t="inlineStr">
        <is>
          <t>ADOTのstartTimeout採用値</t>
        </is>
      </c>
      <c r="C14" s="13">
        <f>MIN(120,MAX(2,CEILING(B_adot+I_adot+SpPad,30)))</f>
        <v/>
      </c>
      <c r="D14" s="13">
        <f>MIN(120,MAX(2,CEILING(B_adot+I_adot+SpPad,30)))</f>
        <v/>
      </c>
      <c r="E14" s="9" t="inlineStr">
        <is>
          <t>Fargateの指定範囲は2〜120。90秒前後になる。</t>
        </is>
      </c>
    </row>
    <row r="15" ht="44" customHeight="1">
      <c r="A15" s="10" t="inlineStr">
        <is>
          <t>be_wait</t>
        </is>
      </c>
      <c r="B15" s="10" t="inlineStr">
        <is>
          <t>バックエンドHEALTHYを待つ秒数</t>
        </is>
      </c>
      <c r="C15" s="12">
        <f>B_be+I_be</f>
        <v/>
      </c>
      <c r="D15" s="12">
        <f>B_be+I_be</f>
        <v/>
      </c>
      <c r="E15" s="10" t="inlineStr">
        <is>
          <t>この値が120を超えるとstartTimeoutは書けない。</t>
        </is>
      </c>
    </row>
    <row r="16" ht="24" customHeight="1">
      <c r="A16" s="6" t="inlineStr">
        <is>
          <t>パターンA  依存なし。全員が同時にプロセスを開始する。</t>
        </is>
      </c>
      <c r="B16" s="6" t="n"/>
      <c r="C16" s="6" t="n"/>
      <c r="D16" s="6" t="n"/>
      <c r="E16" s="6" t="n"/>
    </row>
    <row r="17" ht="36" customHeight="1">
      <c r="A17" s="10" t="inlineStr">
        <is>
          <t>a_ready</t>
        </is>
      </c>
      <c r="B17" s="10" t="inlineStr">
        <is>
          <t>フロントが応答できる時刻</t>
        </is>
      </c>
      <c r="C17" s="12">
        <f>P_sec+B_fe</f>
        <v/>
      </c>
      <c r="D17" s="12">
        <f>B_fe</f>
        <v/>
      </c>
      <c r="E17" s="10" t="inlineStr">
        <is>
          <t>登録を時計の起点とみなす。安全側はPのあと。</t>
        </is>
      </c>
    </row>
    <row r="18" ht="44" customHeight="1">
      <c r="A18" s="9" t="inlineStr">
        <is>
          <t>a_extra</t>
        </is>
      </c>
      <c r="B18" s="9" t="inlineStr">
        <is>
          <t>ALBがhealthyになるまでの追加</t>
        </is>
      </c>
      <c r="C18" s="13">
        <f>IF(C17&lt;=C8,I_alb,I_alb*H_alb)</f>
        <v/>
      </c>
      <c r="D18" s="13">
        <f>IF(D17&lt;=D8,I_alb,I_alb*H_alb)</f>
        <v/>
      </c>
      <c r="E18" s="9" t="inlineStr">
        <is>
          <t>準備完了が故障札より前なら追加は1間隔。超えたら間隔×健全しきい値。</t>
        </is>
      </c>
    </row>
    <row r="19" ht="36" customHeight="1">
      <c r="A19" s="10" t="inlineStr">
        <is>
          <t>a_alb</t>
        </is>
      </c>
      <c r="B19" s="10" t="inlineStr">
        <is>
          <t>ALBがhealthyになる最悪</t>
        </is>
      </c>
      <c r="C19" s="12">
        <f>C17+C18</f>
        <v/>
      </c>
      <c r="D19" s="12">
        <f>D17+D18</f>
        <v/>
      </c>
      <c r="E19" s="10" t="inlineStr">
        <is>
          <t>猶予はこの時刻を超える。</t>
        </is>
      </c>
    </row>
    <row r="20" ht="44" customHeight="1">
      <c r="A20" s="9" t="inlineStr">
        <is>
          <t>a_be</t>
        </is>
      </c>
      <c r="B20" s="9" t="inlineStr">
        <is>
          <t>バックエンドコンテナHEALTHY</t>
        </is>
      </c>
      <c r="C20" s="13">
        <f>P_sec+B_be+I_be</f>
        <v/>
      </c>
      <c r="D20" s="13">
        <f>B_be+I_be</f>
        <v/>
      </c>
      <c r="E20" s="9" t="inlineStr">
        <is>
          <t>essential なので、猶予後にUNHEALTHYだとタスクが止まる。</t>
        </is>
      </c>
    </row>
    <row r="21" ht="44" customHeight="1">
      <c r="A21" s="10" t="inlineStr">
        <is>
          <t>a_gmin</t>
        </is>
      </c>
      <c r="B21" s="10" t="inlineStr">
        <is>
          <t>Aの最低猶予</t>
        </is>
      </c>
      <c r="C21" s="12">
        <f>MAX(C19,C20,P_sec+B_fe+I_fe,P_sec+B_adot+I_adot)</f>
        <v/>
      </c>
      <c r="D21" s="12">
        <f>MAX(D19,D20,B_fe+I_fe,B_adot+I_adot)</f>
        <v/>
      </c>
      <c r="E21" s="10" t="inlineStr">
        <is>
          <t>ALBと、各essentialコンテナのHEALTHYの、遅い方。</t>
        </is>
      </c>
    </row>
    <row r="22" ht="36" customHeight="1">
      <c r="A22" s="14" t="inlineStr">
        <is>
          <t>a_grec</t>
        </is>
      </c>
      <c r="B22" s="14" t="inlineStr">
        <is>
          <t>Aの推奨猶予</t>
        </is>
      </c>
      <c r="C22" s="15">
        <f>CEILING(C21+Margin,30)</f>
        <v/>
      </c>
      <c r="D22" s="15">
        <f>CEILING(D21+Margin,30)</f>
        <v/>
      </c>
      <c r="E22" s="14" t="inlineStr">
        <is>
          <t>最低＋余白を30秒単位で切り上げ。</t>
        </is>
      </c>
    </row>
    <row r="23" ht="36" customHeight="1">
      <c r="A23" s="10" t="inlineStr">
        <is>
          <t>a_ready_now</t>
        </is>
      </c>
      <c r="B23" s="10" t="inlineStr">
        <is>
          <t>現行ALBでのフロント応答時刻</t>
        </is>
      </c>
      <c r="C23" s="12">
        <f>P_sec+B_fe</f>
        <v/>
      </c>
      <c r="D23" s="12">
        <f>B_fe</f>
        <v/>
      </c>
      <c r="E23" s="10" t="inlineStr">
        <is>
          <t>現行間隔でも準備完了時刻は同じ。</t>
        </is>
      </c>
    </row>
    <row r="24" ht="36" customHeight="1">
      <c r="A24" s="9" t="inlineStr">
        <is>
          <t>a_extra_now</t>
        </is>
      </c>
      <c r="B24" s="9" t="inlineStr">
        <is>
          <t>現行ALBの追加</t>
        </is>
      </c>
      <c r="C24" s="13">
        <f>IF(C23&lt;=C9,I_alb_now,I_alb_now*H_alb_now)</f>
        <v/>
      </c>
      <c r="D24" s="13">
        <f>IF(D23&lt;=D9,I_alb_now,I_alb_now*H_alb_now)</f>
        <v/>
      </c>
      <c r="E24" s="9" t="inlineStr">
        <is>
          <t>既定30×5=150秒になりやすい。</t>
        </is>
      </c>
    </row>
    <row r="25" ht="36" customHeight="1">
      <c r="A25" s="10" t="inlineStr">
        <is>
          <t>a_gmin_now</t>
        </is>
      </c>
      <c r="B25" s="10" t="inlineStr">
        <is>
          <t>A 現行ALBの最低猶予</t>
        </is>
      </c>
      <c r="C25" s="12">
        <f>MAX(C23+C24,C20)</f>
        <v/>
      </c>
      <c r="D25" s="12">
        <f>MAX(D23+D24,D20)</f>
        <v/>
      </c>
      <c r="E25" s="10" t="inlineStr">
        <is>
          <t>既定のままの並列構成。</t>
        </is>
      </c>
    </row>
    <row r="26" ht="44" customHeight="1">
      <c r="A26" s="14" t="inlineStr">
        <is>
          <t>a_grec_now</t>
        </is>
      </c>
      <c r="B26" s="14" t="inlineStr">
        <is>
          <t>A 現行ALBの推奨猶予</t>
        </is>
      </c>
      <c r="C26" s="15">
        <f>CEILING(C25+Margin,30)</f>
        <v/>
      </c>
      <c r="D26" s="15">
        <f>CEILING(D25+Margin,30)</f>
        <v/>
      </c>
      <c r="E26" s="14" t="inlineStr">
        <is>
          <t>既定ALBのままなら、300秒では足りないことが多い。</t>
        </is>
      </c>
    </row>
    <row r="27" ht="24" customHeight="1">
      <c r="A27" s="6" t="inlineStr">
        <is>
          <t>パターンB  ADOT HEALTHY → バックエンド HEALTHY → フロント。要件を全部守る直列。</t>
        </is>
      </c>
      <c r="B27" s="6" t="n"/>
      <c r="C27" s="6" t="n"/>
      <c r="D27" s="6" t="n"/>
      <c r="E27" s="6" t="n"/>
    </row>
    <row r="28" ht="36" customHeight="1">
      <c r="A28" s="9" t="inlineStr">
        <is>
          <t>b_be_start</t>
        </is>
      </c>
      <c r="B28" s="9" t="inlineStr">
        <is>
          <t>バックエンドのプロセス開始</t>
        </is>
      </c>
      <c r="C28" s="13">
        <f>P_sec+B_adot+I_adot</f>
        <v/>
      </c>
      <c r="D28" s="13">
        <f>B_adot+I_adot</f>
        <v/>
      </c>
      <c r="E28" s="9" t="inlineStr">
        <is>
          <t>ADOTのHEALTHYのあと。</t>
        </is>
      </c>
    </row>
    <row r="29" ht="36" customHeight="1">
      <c r="A29" s="10" t="inlineStr">
        <is>
          <t>b_be_ok</t>
        </is>
      </c>
      <c r="B29" s="10" t="inlineStr">
        <is>
          <t>バックエンドHEALTHY</t>
        </is>
      </c>
      <c r="C29" s="12">
        <f>C28+B_be+I_be</f>
        <v/>
      </c>
      <c r="D29" s="12">
        <f>D28+B_be+I_be</f>
        <v/>
      </c>
      <c r="E29" s="10" t="inlineStr">
        <is>
          <t>ここでフロントのプロセスが初めて開始する。</t>
        </is>
      </c>
    </row>
    <row r="30" ht="44" customHeight="1">
      <c r="A30" s="9" t="inlineStr">
        <is>
          <t>b_fe_start</t>
        </is>
      </c>
      <c r="B30" s="9" t="inlineStr">
        <is>
          <t>フロントのプロセス開始</t>
        </is>
      </c>
      <c r="C30" s="13">
        <f>C29</f>
        <v/>
      </c>
      <c r="D30" s="13">
        <f>D29</f>
        <v/>
      </c>
      <c r="E30" s="9" t="inlineStr">
        <is>
          <t>depends_on HEALTHY が解けた瞬間。startPeriodの終わりではない。</t>
        </is>
      </c>
    </row>
    <row r="31" ht="36" customHeight="1">
      <c r="A31" s="10" t="inlineStr">
        <is>
          <t>b_ready</t>
        </is>
      </c>
      <c r="B31" s="10" t="inlineStr">
        <is>
          <t>フロントが応答できる</t>
        </is>
      </c>
      <c r="C31" s="12">
        <f>C30+B_fe</f>
        <v/>
      </c>
      <c r="D31" s="12">
        <f>D30+B_fe</f>
        <v/>
      </c>
      <c r="E31" s="10" t="inlineStr">
        <is>
          <t>フロント自身の起動予算のあと。</t>
        </is>
      </c>
    </row>
    <row r="32" ht="44" customHeight="1">
      <c r="A32" s="9" t="inlineStr">
        <is>
          <t>b_extra</t>
        </is>
      </c>
      <c r="B32" s="9" t="inlineStr">
        <is>
          <t>ALB追加（直列なので通常は復帰パス）</t>
        </is>
      </c>
      <c r="C32" s="13">
        <f>IF(C31&lt;=C8,I_alb,I_alb*H_alb)</f>
        <v/>
      </c>
      <c r="D32" s="13">
        <f>IF(D31&lt;=D8,I_alb,I_alb*H_alb)</f>
        <v/>
      </c>
      <c r="E32" s="9" t="inlineStr">
        <is>
          <t>登録が先頭で、フロントが遅いので、ほぼ必ず故障札からの復帰。</t>
        </is>
      </c>
    </row>
    <row r="33" ht="36" customHeight="1">
      <c r="A33" s="10" t="inlineStr">
        <is>
          <t>b_alb</t>
        </is>
      </c>
      <c r="B33" s="10" t="inlineStr">
        <is>
          <t>ALBがhealthyになる最悪</t>
        </is>
      </c>
      <c r="C33" s="12">
        <f>C31+C32</f>
        <v/>
      </c>
      <c r="D33" s="12">
        <f>D31+D32</f>
        <v/>
      </c>
      <c r="E33" s="10" t="inlineStr">
        <is>
          <t>パターンBの律速。</t>
        </is>
      </c>
    </row>
    <row r="34" ht="36" customHeight="1">
      <c r="A34" s="9" t="inlineStr">
        <is>
          <t>b_gmin</t>
        </is>
      </c>
      <c r="B34" s="9" t="inlineStr">
        <is>
          <t>Bの最低猶予</t>
        </is>
      </c>
      <c r="C34" s="13">
        <f>MAX(C33,C30+B_fe+I_fe,C29)</f>
        <v/>
      </c>
      <c r="D34" s="13">
        <f>MAX(D33,D30+B_fe+I_fe,D29)</f>
        <v/>
      </c>
      <c r="E34" s="9" t="inlineStr">
        <is>
          <t>ALB復帰とコンテナHEALTHYの遅い方。</t>
        </is>
      </c>
    </row>
    <row r="35" ht="36" customHeight="1">
      <c r="A35" s="14" t="inlineStr">
        <is>
          <t>b_grec</t>
        </is>
      </c>
      <c r="B35" s="14" t="inlineStr">
        <is>
          <t>Bの推奨猶予</t>
        </is>
      </c>
      <c r="C35" s="15">
        <f>CEILING(C34+Margin,30)</f>
        <v/>
      </c>
      <c r="D35" s="15">
        <f>CEILING(D34+Margin,30)</f>
        <v/>
      </c>
      <c r="E35" s="14" t="inlineStr">
        <is>
          <t>直列を維持するならこの秒数。</t>
        </is>
      </c>
    </row>
    <row r="36" ht="36" customHeight="1">
      <c r="A36" s="9" t="inlineStr">
        <is>
          <t>b_extra_now</t>
        </is>
      </c>
      <c r="B36" s="9" t="inlineStr">
        <is>
          <t>B 現行ALBの追加</t>
        </is>
      </c>
      <c r="C36" s="13">
        <f>IF(C31&lt;=C9,I_alb_now,I_alb_now*H_alb_now)</f>
        <v/>
      </c>
      <c r="D36" s="13">
        <f>IF(D31&lt;=D9,I_alb_now,I_alb_now*H_alb_now)</f>
        <v/>
      </c>
      <c r="E36" s="9" t="inlineStr">
        <is>
          <t>既定だと復帰だけで最大150秒。</t>
        </is>
      </c>
    </row>
    <row r="37" ht="36" customHeight="1">
      <c r="A37" s="10" t="inlineStr">
        <is>
          <t>b_gmin_now</t>
        </is>
      </c>
      <c r="B37" s="10" t="inlineStr">
        <is>
          <t>B 現行ALBの最低猶予</t>
        </is>
      </c>
      <c r="C37" s="12">
        <f>MAX(C31+C36,C30+B_fe+I_fe)</f>
        <v/>
      </c>
      <c r="D37" s="12">
        <f>MAX(D31+D36,D30+B_fe+I_fe)</f>
        <v/>
      </c>
      <c r="E37" s="10" t="inlineStr">
        <is>
          <t>既定ALBの直列。</t>
        </is>
      </c>
    </row>
    <row r="38" ht="36" customHeight="1">
      <c r="A38" s="14" t="inlineStr">
        <is>
          <t>b_grec_now</t>
        </is>
      </c>
      <c r="B38" s="14" t="inlineStr">
        <is>
          <t>B 現行ALBの推奨猶予</t>
        </is>
      </c>
      <c r="C38" s="15">
        <f>CEILING(C37+Margin,30)</f>
        <v/>
      </c>
      <c r="D38" s="15">
        <f>CEILING(D37+Margin,30)</f>
        <v/>
      </c>
      <c r="E38" s="14" t="inlineStr">
        <is>
          <t>最も長い組み合わせ。</t>
        </is>
      </c>
    </row>
    <row r="39" ht="24" customHeight="1">
      <c r="A39" s="6" t="inlineStr">
        <is>
          <t>パターンC  バックエンドだけADOTのHEALTHYを待つ。フロントは待たない。</t>
        </is>
      </c>
      <c r="B39" s="6" t="n"/>
      <c r="C39" s="6" t="n"/>
      <c r="D39" s="6" t="n"/>
      <c r="E39" s="6" t="n"/>
    </row>
    <row r="40" ht="36" customHeight="1">
      <c r="A40" s="9" t="inlineStr">
        <is>
          <t>c_be_ok</t>
        </is>
      </c>
      <c r="B40" s="9" t="inlineStr">
        <is>
          <t>バックエンドHEALTHY</t>
        </is>
      </c>
      <c r="C40" s="13">
        <f>P_sec+B_adot+I_adot+B_be+I_be</f>
        <v/>
      </c>
      <c r="D40" s="13">
        <f>B_adot+I_adot+B_be+I_be</f>
        <v/>
      </c>
      <c r="E40" s="9" t="inlineStr">
        <is>
          <t>トレースの受け皿ができてから厨房が開く。</t>
        </is>
      </c>
    </row>
    <row r="41" ht="44" customHeight="1">
      <c r="A41" s="10" t="inlineStr">
        <is>
          <t>c_ready</t>
        </is>
      </c>
      <c r="B41" s="10" t="inlineStr">
        <is>
          <t>フロントが応答できる</t>
        </is>
      </c>
      <c r="C41" s="12">
        <f>P_sec+B_fe</f>
        <v/>
      </c>
      <c r="D41" s="12">
        <f>B_fe</f>
        <v/>
      </c>
      <c r="E41" s="10" t="inlineStr">
        <is>
          <t>フロントの準備完了パスがバックエンドを呼ぶと、この仮定は崩れてBに近づく。</t>
        </is>
      </c>
    </row>
    <row r="42" ht="36" customHeight="1">
      <c r="A42" s="9" t="inlineStr">
        <is>
          <t>c_extra</t>
        </is>
      </c>
      <c r="B42" s="9" t="inlineStr">
        <is>
          <t>ALB追加</t>
        </is>
      </c>
      <c r="C42" s="13">
        <f>IF(C41&lt;=C8,I_alb,I_alb*H_alb)</f>
        <v/>
      </c>
      <c r="D42" s="13">
        <f>IF(D41&lt;=D8,I_alb,I_alb*H_alb)</f>
        <v/>
      </c>
      <c r="E42" s="9" t="inlineStr">
        <is>
          <t>フロントは先頭付近で起動するので、Aと同じ追加。</t>
        </is>
      </c>
    </row>
    <row r="43" ht="36" customHeight="1">
      <c r="A43" s="10" t="inlineStr">
        <is>
          <t>c_alb</t>
        </is>
      </c>
      <c r="B43" s="10" t="inlineStr">
        <is>
          <t>ALBがhealthy</t>
        </is>
      </c>
      <c r="C43" s="12">
        <f>C41+C42</f>
        <v/>
      </c>
      <c r="D43" s="12">
        <f>D41+D42</f>
        <v/>
      </c>
      <c r="E43" s="10" t="inlineStr">
        <is>
          <t>客を案内できる時刻。</t>
        </is>
      </c>
    </row>
    <row r="44" ht="44" customHeight="1">
      <c r="A44" s="9" t="inlineStr">
        <is>
          <t>c_gmin</t>
        </is>
      </c>
      <c r="B44" s="9" t="inlineStr">
        <is>
          <t>Cの最低猶予</t>
        </is>
      </c>
      <c r="C44" s="13">
        <f>MAX(C43,C40,P_sec+B_fe+I_fe)</f>
        <v/>
      </c>
      <c r="D44" s="13">
        <f>MAX(D43,D40,B_fe+I_fe)</f>
        <v/>
      </c>
      <c r="E44" s="9" t="inlineStr">
        <is>
          <t>フロントのALBと、遅れてHEALTHYになるバックエンドの、遅い方。</t>
        </is>
      </c>
    </row>
    <row r="45" ht="36" customHeight="1">
      <c r="A45" s="14" t="inlineStr">
        <is>
          <t>c_grec</t>
        </is>
      </c>
      <c r="B45" s="14" t="inlineStr">
        <is>
          <t>Cの推奨猶予</t>
        </is>
      </c>
      <c r="C45" s="15">
        <f>CEILING(C44+Margin,30)</f>
        <v/>
      </c>
      <c r="D45" s="15">
        <f>CEILING(D44+Margin,30)</f>
        <v/>
      </c>
      <c r="E45" s="14" t="inlineStr">
        <is>
          <t>フロントの依存を外す場合。</t>
        </is>
      </c>
    </row>
    <row r="46" ht="24" customHeight="1">
      <c r="A46" s="6" t="inlineStr">
        <is>
          <t>パターンD  サービスを分ける。時計がサービスごとに1つずつある。</t>
        </is>
      </c>
      <c r="B46" s="6" t="n"/>
      <c r="C46" s="6" t="n"/>
      <c r="D46" s="6" t="n"/>
      <c r="E46" s="6" t="n"/>
    </row>
    <row r="47" ht="36" customHeight="1">
      <c r="A47" s="10" t="inlineStr">
        <is>
          <t>d_fe_gmin</t>
        </is>
      </c>
      <c r="B47" s="10" t="inlineStr">
        <is>
          <t>フロントサービスの最低猶予</t>
        </is>
      </c>
      <c r="C47" s="12">
        <f>C43</f>
        <v/>
      </c>
      <c r="D47" s="12">
        <f>D43</f>
        <v/>
      </c>
      <c r="E47" s="10" t="inlineStr">
        <is>
          <t>フロントだけの時計。ADOT待ちを含まない。</t>
        </is>
      </c>
    </row>
    <row r="48" ht="36" customHeight="1">
      <c r="A48" s="14" t="inlineStr">
        <is>
          <t>d_fe_grec</t>
        </is>
      </c>
      <c r="B48" s="14" t="inlineStr">
        <is>
          <t>フロントサービスの推奨猶予</t>
        </is>
      </c>
      <c r="C48" s="15">
        <f>CEILING(C47+Margin,30)</f>
        <v/>
      </c>
      <c r="D48" s="15">
        <f>CEILING(D47+Margin,30)</f>
        <v/>
      </c>
      <c r="E48" s="14" t="inlineStr">
        <is>
          <t>フロントサービス。</t>
        </is>
      </c>
    </row>
    <row r="49" ht="36" customHeight="1">
      <c r="A49" s="10" t="inlineStr">
        <is>
          <t>d_be_ready</t>
        </is>
      </c>
      <c r="B49" s="10" t="inlineStr">
        <is>
          <t>バックエンドが応答できる（自サービスの登録から）</t>
        </is>
      </c>
      <c r="C49" s="12">
        <f>P_sec+B_adot+I_adot+B_be</f>
        <v/>
      </c>
      <c r="D49" s="12">
        <f>B_adot+I_adot+B_be</f>
        <v/>
      </c>
      <c r="E49" s="10" t="inlineStr">
        <is>
          <t>バックエンドサービスにADOTを置く場合。</t>
        </is>
      </c>
    </row>
    <row r="50" ht="44" customHeight="1">
      <c r="A50" s="9" t="inlineStr">
        <is>
          <t>d_be_extra</t>
        </is>
      </c>
      <c r="B50" s="9" t="inlineStr">
        <is>
          <t>バックエンドALBの追加</t>
        </is>
      </c>
      <c r="C50" s="13">
        <f>IF(C49&lt;=C8,I_alb,I_alb*H_alb)</f>
        <v/>
      </c>
      <c r="D50" s="13">
        <f>IF(D49&lt;=D8,I_alb,I_alb*H_alb)</f>
        <v/>
      </c>
      <c r="E50" s="9" t="inlineStr">
        <is>
          <t>内部ALBがある場合。ALBが無ければ猶予は使われず、startPeriodだけで足りる。</t>
        </is>
      </c>
    </row>
    <row r="51" ht="36" customHeight="1">
      <c r="A51" s="10" t="inlineStr">
        <is>
          <t>d_be_gmin</t>
        </is>
      </c>
      <c r="B51" s="10" t="inlineStr">
        <is>
          <t>バックエンドサービスの最低猶予</t>
        </is>
      </c>
      <c r="C51" s="12">
        <f>C49+C50</f>
        <v/>
      </c>
      <c r="D51" s="12">
        <f>D49+D50</f>
        <v/>
      </c>
      <c r="E51" s="10" t="inlineStr">
        <is>
          <t>内部ALBがある場合の最低。</t>
        </is>
      </c>
    </row>
    <row r="52" ht="36" customHeight="1">
      <c r="A52" s="14" t="inlineStr">
        <is>
          <t>d_be_grec</t>
        </is>
      </c>
      <c r="B52" s="14" t="inlineStr">
        <is>
          <t>バックエンドサービスの推奨猶予</t>
        </is>
      </c>
      <c r="C52" s="15">
        <f>CEILING(C51+Margin,30)</f>
        <v/>
      </c>
      <c r="D52" s="15">
        <f>CEILING(D51+Margin,30)</f>
        <v/>
      </c>
      <c r="E52" s="14" t="inlineStr">
        <is>
          <t>内部ALBがある場合。</t>
        </is>
      </c>
    </row>
    <row r="53" ht="24" customHeight="1">
      <c r="A53" s="6" t="inlineStr">
        <is>
          <t>パターンE  下の例入力。起動が短い日の直列。間隔は推奨ALBを使う。</t>
        </is>
      </c>
      <c r="B53" s="6" t="n"/>
      <c r="C53" s="6" t="n"/>
      <c r="D53" s="6" t="n"/>
      <c r="E53" s="6" t="n"/>
    </row>
    <row r="54" ht="36" customHeight="1">
      <c r="A54" s="9" t="inlineStr">
        <is>
          <t>e_be_start</t>
        </is>
      </c>
      <c r="B54" s="9" t="inlineStr">
        <is>
          <t>例: バックエンド開始</t>
        </is>
      </c>
      <c r="C54" s="13">
        <f>E_P+E_adot+I_adot</f>
        <v/>
      </c>
      <c r="D54" s="13">
        <f>E_adot+I_adot</f>
        <v/>
      </c>
      <c r="E54" s="9" t="inlineStr">
        <is>
          <t>教材用。</t>
        </is>
      </c>
    </row>
    <row r="55" ht="44" customHeight="1">
      <c r="A55" s="10" t="inlineStr">
        <is>
          <t>e_be_ok</t>
        </is>
      </c>
      <c r="B55" s="10" t="inlineStr">
        <is>
          <t>例: バックエンドHEALTHY</t>
        </is>
      </c>
      <c r="C55" s="12">
        <f>C54+E_be+I_be</f>
        <v/>
      </c>
      <c r="D55" s="12">
        <f>D54+E_be+I_be</f>
        <v/>
      </c>
      <c r="E55" s="10" t="inlineStr">
        <is>
          <t>待ちが120秒以内ならstartTimeoutを書ける。</t>
        </is>
      </c>
    </row>
    <row r="56" ht="36" customHeight="1">
      <c r="A56" s="9" t="inlineStr">
        <is>
          <t>e_ready</t>
        </is>
      </c>
      <c r="B56" s="9" t="inlineStr">
        <is>
          <t>例: フロント応答</t>
        </is>
      </c>
      <c r="C56" s="13">
        <f>C55+E_fe</f>
        <v/>
      </c>
      <c r="D56" s="13">
        <f>D55+E_fe</f>
        <v/>
      </c>
      <c r="E56" s="9" t="inlineStr">
        <is>
          <t>直列でも合計が短い。</t>
        </is>
      </c>
    </row>
    <row r="57" ht="44" customHeight="1">
      <c r="A57" s="10" t="inlineStr">
        <is>
          <t>e_extra</t>
        </is>
      </c>
      <c r="B57" s="10" t="inlineStr">
        <is>
          <t>例: ALB追加</t>
        </is>
      </c>
      <c r="C57" s="12">
        <f>IF(C56&lt;=C8,I_alb,I_alb*H_alb)</f>
        <v/>
      </c>
      <c r="D57" s="12">
        <f>IF(D56&lt;=D8,I_alb,I_alb*H_alb)</f>
        <v/>
      </c>
      <c r="E57" s="10" t="inlineStr">
        <is>
          <t>短い起動でも、登録直後から失敗が積もれば復帰パスになる。</t>
        </is>
      </c>
    </row>
    <row r="58" ht="36" customHeight="1">
      <c r="A58" s="9" t="inlineStr">
        <is>
          <t>e_gmin</t>
        </is>
      </c>
      <c r="B58" s="9" t="inlineStr">
        <is>
          <t>Eの最低猶予</t>
        </is>
      </c>
      <c r="C58" s="13">
        <f>MAX(C56+C57,C55)</f>
        <v/>
      </c>
      <c r="D58" s="13">
        <f>MAX(D56+D57,D55)</f>
        <v/>
      </c>
      <c r="E58" s="9" t="inlineStr">
        <is>
          <t>教材。</t>
        </is>
      </c>
    </row>
    <row r="59" ht="36" customHeight="1">
      <c r="A59" s="14" t="inlineStr">
        <is>
          <t>e_grec</t>
        </is>
      </c>
      <c r="B59" s="14" t="inlineStr">
        <is>
          <t>Eの推奨猶予</t>
        </is>
      </c>
      <c r="C59" s="15">
        <f>CEILING(C58+Margin,30)</f>
        <v/>
      </c>
      <c r="D59" s="15">
        <f>CEILING(D58+Margin,30)</f>
        <v/>
      </c>
      <c r="E59" s="14" t="inlineStr">
        <is>
          <t>実測がこの程度なら直列でも短い。</t>
        </is>
      </c>
    </row>
  </sheetData>
  <mergeCells count="7">
    <mergeCell ref="A39:E39"/>
    <mergeCell ref="A53:E53"/>
    <mergeCell ref="A2:E2"/>
    <mergeCell ref="A16:E16"/>
    <mergeCell ref="A1:E1"/>
    <mergeCell ref="A46:E46"/>
    <mergeCell ref="A27:E27"/>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計算</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10.xml><?xml version="1.0" encoding="utf-8"?>
<worksheet xmlns="http://schemas.openxmlformats.org/spreadsheetml/2006/main">
  <sheetPr>
    <tabColor rgb="004A4A4A"/>
    <outlinePr summaryBelow="1" summaryRight="1"/>
    <pageSetUpPr fitToPage="1"/>
  </sheetPr>
  <dimension ref="A1:D17"/>
  <sheetViews>
    <sheetView showGridLines="0" view="normal" zoomScale="110" zoomScaleNormal="110" workbookViewId="0">
      <pane ySplit="4" topLeftCell="A5" activePane="bottomLeft" state="frozen"/>
      <selection pane="bottomLeft" activeCell="A1" sqref="A1"/>
    </sheetView>
  </sheetViews>
  <sheetFormatPr baseColWidth="8" defaultColWidth="12" defaultRowHeight="18"/>
  <cols>
    <col width="28" customWidth="1" min="1" max="1"/>
    <col width="36" customWidth="1" min="2" max="2"/>
    <col width="36" customWidth="1" min="3" max="3"/>
    <col width="70" customWidth="1" min="4" max="4"/>
  </cols>
  <sheetData>
    <row r="1" ht="32" customHeight="1">
      <c r="A1" s="1" t="inlineStr">
        <is>
          <t>現行300秒の瞬間</t>
        </is>
      </c>
      <c r="B1" s="1" t="n"/>
      <c r="C1" s="1" t="n"/>
      <c r="D1" s="1" t="n"/>
    </row>
    <row r="2" ht="36" customHeight="1">
      <c r="A2" s="2" t="inlineStr">
        <is>
          <t>ALBの検査は300秒で始まりません。最初から叩いています。300秒で終わるのは、店長がその赤札を無視する時間です。</t>
        </is>
      </c>
      <c r="B2" s="2" t="n"/>
      <c r="C2" s="2" t="n"/>
      <c r="D2" s="2" t="n"/>
    </row>
    <row r="3">
      <c r="A3" s="3" t="n"/>
      <c r="B3" s="3" t="n"/>
      <c r="C3" s="3" t="n"/>
      <c r="D3" s="3" t="n"/>
    </row>
    <row r="4" ht="32" customHeight="1">
      <c r="A4" s="11" t="inlineStr">
        <is>
          <t>見ているもの</t>
        </is>
      </c>
      <c r="B4" s="11" t="inlineStr">
        <is>
          <t>安全側（Pを含む）</t>
        </is>
      </c>
      <c r="C4" s="11" t="inlineStr">
        <is>
          <t>取得後起算（P=0）</t>
        </is>
      </c>
      <c r="D4" s="11" t="inlineStr">
        <is>
          <t>読み方</t>
        </is>
      </c>
    </row>
    <row r="5" ht="40" customHeight="1">
      <c r="A5" s="10" t="inlineStr">
        <is>
          <t>猶予の終わり</t>
        </is>
      </c>
      <c r="B5" s="12">
        <f>GraceNow</f>
        <v/>
      </c>
      <c r="C5" s="12">
        <f>GraceNow</f>
        <v/>
      </c>
      <c r="D5" s="10" t="inlineStr">
        <is>
          <t>この秒で、スケジューラは異常をタスク停止の材料にし始めます。</t>
        </is>
      </c>
    </row>
    <row r="6" ht="40" customHeight="1">
      <c r="A6" s="9" t="inlineStr">
        <is>
          <t>B: ADOTがHEALTHY</t>
        </is>
      </c>
      <c r="B6" s="13">
        <f>'08_計算'!C28</f>
        <v/>
      </c>
      <c r="C6" s="13">
        <f>'08_計算'!D28</f>
        <v/>
      </c>
      <c r="D6" s="9" t="inlineStr">
        <is>
          <t>この時刻にバックエンドのプロセスが開始します。</t>
        </is>
      </c>
    </row>
    <row r="7" ht="44" customHeight="1">
      <c r="A7" s="10" t="inlineStr">
        <is>
          <t>B: バックエンドHEALTHY＝フロント開始</t>
        </is>
      </c>
      <c r="B7" s="12">
        <f>'08_計算'!C30</f>
        <v/>
      </c>
      <c r="C7" s="12">
        <f>'08_計算'!D30</f>
        <v/>
      </c>
      <c r="D7" s="10" t="inlineStr">
        <is>
          <t>startPeriodが210だからこの時刻、ではありません。検査が成功した時刻です。</t>
        </is>
      </c>
    </row>
    <row r="8" ht="44" customHeight="1">
      <c r="A8" s="9" t="inlineStr">
        <is>
          <t>B: 300秒時点のフロント稼働秒</t>
        </is>
      </c>
      <c r="B8" s="13">
        <f>MAX(0,GraceNow-'08_計算'!C30)</f>
        <v/>
      </c>
      <c r="C8" s="13">
        <f>MAX(0,GraceNow-'08_計算'!D30)</f>
        <v/>
      </c>
      <c r="D8" s="9" t="inlineStr">
        <is>
          <t>0なら、フロントはまだプロセスが無い。</t>
        </is>
      </c>
    </row>
    <row r="9" ht="40" customHeight="1">
      <c r="A9" s="10" t="inlineStr">
        <is>
          <t>B: フロントの残り起動予算</t>
        </is>
      </c>
      <c r="B9" s="12">
        <f>MAX(0,B_fe-MAX(0,GraceNow-'08_計算'!C30))</f>
        <v/>
      </c>
      <c r="C9" s="12">
        <f>MAX(0,B_fe-MAX(0,GraceNow-'08_計算'!D30))</f>
        <v/>
      </c>
      <c r="D9" s="10" t="inlineStr">
        <is>
          <t>210秒予算に対し、猶予終了時にまだ残っている起動。</t>
        </is>
      </c>
    </row>
    <row r="10" ht="44" customHeight="1">
      <c r="A10" s="9" t="inlineStr">
        <is>
          <t>B: ALB healthy の最悪</t>
        </is>
      </c>
      <c r="B10" s="13">
        <f>'08_計算'!C33</f>
        <v/>
      </c>
      <c r="C10" s="13">
        <f>'08_計算'!D33</f>
        <v/>
      </c>
      <c r="D10" s="9" t="inlineStr">
        <is>
          <t>ここまで猶予が無いと、復帰の連続成功の途中でタスクを止められ得る。</t>
        </is>
      </c>
    </row>
    <row r="11" ht="40" customHeight="1">
      <c r="A11" s="14" t="inlineStr">
        <is>
          <t>B: 最低線までの不足</t>
        </is>
      </c>
      <c r="B11" s="15">
        <f>MAX(0,'08_計算'!C34-GraceNow)</f>
        <v/>
      </c>
      <c r="C11" s="15">
        <f>MAX(0,'08_計算'!D34-GraceNow)</f>
        <v/>
      </c>
      <c r="D11" s="14" t="inlineStr">
        <is>
          <t>0より大きいなら、現行猶予は直列の最低線より短い。</t>
        </is>
      </c>
    </row>
    <row r="12" ht="40" customHeight="1">
      <c r="A12" s="9" t="inlineStr">
        <is>
          <t>C: バックエンドHEALTHY</t>
        </is>
      </c>
      <c r="B12" s="13">
        <f>'08_計算'!C40</f>
        <v/>
      </c>
      <c r="C12" s="13">
        <f>'08_計算'!D40</f>
        <v/>
      </c>
      <c r="D12" s="9" t="inlineStr">
        <is>
          <t>フロントは待たないので、ALBはフロント自身の起動だけを見る。</t>
        </is>
      </c>
    </row>
    <row r="13" ht="44" customHeight="1">
      <c r="A13" s="10" t="inlineStr">
        <is>
          <t>C: ALB healthy の最悪</t>
        </is>
      </c>
      <c r="B13" s="12">
        <f>'08_計算'!C43</f>
        <v/>
      </c>
      <c r="C13" s="12">
        <f>'08_計算'!D43</f>
        <v/>
      </c>
      <c r="D13" s="10" t="inlineStr">
        <is>
          <t>バックエンドのコンテナHEALTHYがこれより遅いなら、猶予はそちらに合わせる。</t>
        </is>
      </c>
    </row>
    <row r="14" ht="44" customHeight="1">
      <c r="A14" s="9" t="inlineStr">
        <is>
          <t>A: ALB healthy の最悪（推奨ALB）</t>
        </is>
      </c>
      <c r="B14" s="13">
        <f>'08_計算'!C19</f>
        <v/>
      </c>
      <c r="C14" s="13">
        <f>'08_計算'!D19</f>
        <v/>
      </c>
      <c r="D14" s="9" t="inlineStr">
        <is>
          <t>依存が無い現行形。推奨ALBなら取得後起算で300秒付近。</t>
        </is>
      </c>
    </row>
    <row r="15" ht="40" customHeight="1">
      <c r="A15" s="10" t="inlineStr">
        <is>
          <t>A: 最低線（現行ALBのまま）</t>
        </is>
      </c>
      <c r="B15" s="12">
        <f>'08_計算'!C25</f>
        <v/>
      </c>
      <c r="C15" s="12">
        <f>'08_計算'!D25</f>
        <v/>
      </c>
      <c r="D15" s="10" t="inlineStr">
        <is>
          <t>既定の健全しきい値5のままだと、並列でも300秒を超える。</t>
        </is>
      </c>
    </row>
    <row r="16">
      <c r="A16" s="3" t="n"/>
      <c r="B16" s="3" t="n"/>
      <c r="C16" s="3" t="n"/>
      <c r="D16" s="3" t="n"/>
    </row>
    <row r="17" ht="56" customHeight="1">
      <c r="A17" s="7" t="inlineStr">
        <is>
          <t>取得後起算のパターンBでは、300秒のときバックエンドはすでにHEALTHYで、フロントは起動して数十秒です。相談の「バックはOK、フロントは立ち上げはじめ、案内人はもう見逃さない」と一致します。安全側では、300秒のときフロントのプロセス自体がまだ無いことまであり得ます。</t>
        </is>
      </c>
      <c r="B17" s="8" t="n"/>
      <c r="C17" s="8" t="n"/>
      <c r="D17" s="8" t="n"/>
    </row>
  </sheetData>
  <mergeCells count="3">
    <mergeCell ref="A1:D1"/>
    <mergeCell ref="A17:D17"/>
    <mergeCell ref="A2:D2"/>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UI"&amp;9 300秒の現場</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11.xml><?xml version="1.0" encoding="utf-8"?>
<worksheet xmlns="http://schemas.openxmlformats.org/spreadsheetml/2006/main">
  <sheetPr>
    <tabColor rgb="004A4A4A"/>
    <outlinePr summaryBelow="1" summaryRight="1"/>
    <pageSetUpPr fitToPage="1"/>
  </sheetPr>
  <dimension ref="A1:D10"/>
  <sheetViews>
    <sheetView showGridLines="0" view="normal" zoomScale="110" zoomScaleNormal="110" workbookViewId="0">
      <pane ySplit="4" topLeftCell="A5" activePane="bottomLeft" state="frozen"/>
      <selection pane="bottomLeft" activeCell="A1" sqref="A1"/>
    </sheetView>
  </sheetViews>
  <sheetFormatPr baseColWidth="8" defaultColWidth="12" defaultRowHeight="18"/>
  <cols>
    <col width="24" customWidth="1" min="1" max="1"/>
    <col width="38" customWidth="1" min="2" max="2"/>
    <col width="55" customWidth="1" min="3" max="3"/>
    <col width="55" customWidth="1" min="4" max="4"/>
  </cols>
  <sheetData>
    <row r="1" ht="32" customHeight="1">
      <c r="A1" s="1" t="inlineStr">
        <is>
          <t>パターン比較</t>
        </is>
      </c>
      <c r="B1" s="1" t="n"/>
      <c r="C1" s="1" t="n"/>
      <c r="D1" s="1" t="n"/>
    </row>
    <row r="2" ht="36" customHeight="1">
      <c r="A2" s="2" t="inlineStr">
        <is>
          <t>同じ起動予算で、依存の引き方が猶予をどう変えるか。数値は01_結論と同じ式です。</t>
        </is>
      </c>
      <c r="B2" s="2" t="n"/>
      <c r="C2" s="2" t="n"/>
      <c r="D2" s="2" t="n"/>
    </row>
    <row r="3">
      <c r="A3" s="3" t="n"/>
      <c r="B3" s="3" t="n"/>
      <c r="C3" s="3" t="n"/>
      <c r="D3" s="3" t="n"/>
    </row>
    <row r="4" ht="32" customHeight="1">
      <c r="A4" s="11" t="inlineStr">
        <is>
          <t>パターン</t>
        </is>
      </c>
      <c r="B4" s="11" t="inlineStr">
        <is>
          <t>起動の順番</t>
        </is>
      </c>
      <c r="C4" s="11" t="inlineStr">
        <is>
          <t>守れること</t>
        </is>
      </c>
      <c r="D4" s="11" t="inlineStr">
        <is>
          <t>払うもの</t>
        </is>
      </c>
    </row>
    <row r="5" ht="56" customHeight="1">
      <c r="A5" s="10" t="inlineStr">
        <is>
          <t>A 並列</t>
        </is>
      </c>
      <c r="B5" s="10" t="inlineStr">
        <is>
          <t>ADOT、CW、バック、フロントが同時にプロセス開始</t>
        </is>
      </c>
      <c r="C5" s="10" t="inlineStr">
        <is>
          <t>壁時計が一番短い。フロントのAPIリトライと、トレース送信側の再送があれば欠落も小さい。</t>
        </is>
      </c>
      <c r="D5" s="10" t="inlineStr">
        <is>
          <t>起動直後のトレースがADOTの準備前に捨てられる。フロントが厨房を呼ぶと失敗する。</t>
        </is>
      </c>
    </row>
    <row r="6" ht="60" customHeight="1">
      <c r="A6" s="9" t="inlineStr">
        <is>
          <t>B 全直列</t>
        </is>
      </c>
      <c r="B6" s="9" t="inlineStr">
        <is>
          <t>ADOT HEALTHY → バック HEALTHY → フロント</t>
        </is>
      </c>
      <c r="C6" s="9" t="inlineStr">
        <is>
          <t>起動直後からトレースを受けられる。フロントのプロセスは厨房のAPIが検査成功したあとだけ動く。終了順は逆になり、フロント、バック、ADOTの順で止まる。</t>
        </is>
      </c>
      <c r="D6" s="9" t="inlineStr">
        <is>
          <t>猶予が最も長い。壊れたタスクの置き換えもその秒数まで遅れる。バックのstartTimeoutは120秒上限のため書けない。</t>
        </is>
      </c>
    </row>
    <row r="7" ht="56" customHeight="1">
      <c r="A7" s="10" t="inlineStr">
        <is>
          <t>C 折衷</t>
        </is>
      </c>
      <c r="B7" s="10" t="inlineStr">
        <is>
          <t>ADOT HEALTHY → バック。フロントは同時開始</t>
        </is>
      </c>
      <c r="C7" s="10" t="inlineStr">
        <is>
          <t>トレースの受け皿を守る。フロントのALB時計はフロント自身の起動で済む。</t>
        </is>
      </c>
      <c r="D7" s="10" t="inlineStr">
        <is>
          <t>フロントは厨房がHEALTHYになるまでAPI失敗を自分でやり直す。準備完了URLが厨房を呼ぶと、実質Bになる。</t>
        </is>
      </c>
    </row>
    <row r="8" ht="60" customHeight="1">
      <c r="A8" s="9" t="inlineStr">
        <is>
          <t>D 分割</t>
        </is>
      </c>
      <c r="B8" s="9" t="inlineStr">
        <is>
          <t>フロントのサービスとバックのサービス</t>
        </is>
      </c>
      <c r="C8" s="9" t="inlineStr">
        <is>
          <t>時計が2つ。片方の遅い起動が、もう片方の猶予を食べない。</t>
        </is>
      </c>
      <c r="D8" s="9" t="inlineStr">
        <is>
          <t>タスク間は localhost では話せない。Service Connect か内部ALB。depends_on はタスクを越えられない。</t>
        </is>
      </c>
    </row>
    <row r="9" ht="56" customHeight="1">
      <c r="A9" s="10" t="inlineStr">
        <is>
          <t>E 短い実測</t>
        </is>
      </c>
      <c r="B9" s="10" t="inlineStr">
        <is>
          <t>Bと同じ直列。起動予算だけ短い例</t>
        </is>
      </c>
      <c r="C9" s="10" t="inlineStr">
        <is>
          <t>直列そのものが悪いのではない、という確認用。</t>
        </is>
      </c>
      <c r="D9" s="10" t="inlineStr">
        <is>
          <t>本番予算が210秒のままでは、この行の短さは使えない。</t>
        </is>
      </c>
    </row>
    <row r="10" ht="56" customHeight="1">
      <c r="A10" s="16" t="inlineStr">
        <is>
          <t>縮めたstartPeriod</t>
        </is>
      </c>
      <c r="B10" s="16" t="inlineStr">
        <is>
          <t>依存はBのまま。免責だけ短くする</t>
        </is>
      </c>
      <c r="C10" s="16" t="inlineStr">
        <is>
          <t>アプリが本当にその秒数で準備完了なら有効。</t>
        </is>
      </c>
      <c r="D10" s="16" t="inlineStr">
        <is>
          <t>210秒かかる日は、免責のあと失敗が積もってUNHEALTHY。HEALTHY待ちは解けず、フロントは起動しない。</t>
        </is>
      </c>
    </row>
  </sheetData>
  <mergeCells count="2">
    <mergeCell ref="A1:D1"/>
    <mergeCell ref="A2:D2"/>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パターン比較</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12.xml><?xml version="1.0" encoding="utf-8"?>
<worksheet xmlns="http://schemas.openxmlformats.org/spreadsheetml/2006/main">
  <sheetPr>
    <tabColor rgb="004A4A4A"/>
    <outlinePr summaryBelow="1" summaryRight="1"/>
    <pageSetUpPr fitToPage="1"/>
  </sheetPr>
  <dimension ref="A1:I40"/>
  <sheetViews>
    <sheetView showGridLines="0" view="normal" zoomScale="110" zoomScaleNormal="110" workbookViewId="0">
      <pane ySplit="4" topLeftCell="A5" activePane="bottomLeft" state="frozen"/>
      <selection pane="bottomLeft" activeCell="A1" sqref="A1"/>
    </sheetView>
  </sheetViews>
  <sheetFormatPr baseColWidth="8" defaultColWidth="12" defaultRowHeight="18"/>
  <cols>
    <col width="28" customWidth="1" min="1" max="1"/>
    <col width="22" customWidth="1" min="2" max="2"/>
    <col width="18" customWidth="1" min="3" max="3"/>
    <col width="16" customWidth="1" min="4" max="4"/>
    <col width="16" customWidth="1" min="5" max="5"/>
    <col width="16" customWidth="1" min="6" max="6"/>
    <col width="18" customWidth="1" min="7" max="7"/>
    <col width="36" customWidth="1" min="8" max="8"/>
    <col width="42" customWidth="1" min="9" max="9"/>
  </cols>
  <sheetData>
    <row r="1" ht="32" customHeight="1">
      <c r="A1" s="1" t="inlineStr">
        <is>
          <t>採用設定値</t>
        </is>
      </c>
      <c r="B1" s="1" t="n"/>
      <c r="C1" s="1" t="n"/>
      <c r="D1" s="1" t="n"/>
      <c r="E1" s="1" t="n"/>
      <c r="F1" s="1" t="n"/>
      <c r="G1" s="1" t="n"/>
      <c r="H1" s="1" t="n"/>
      <c r="I1" s="1" t="n"/>
    </row>
    <row r="2" ht="36" customHeight="1">
      <c r="A2" s="2" t="inlineStr">
        <is>
          <t>コマンドのポートとパスは例です。イメージに curl や ps が無い場合は、そのイメージに入っている検査コマンドへ変えます。</t>
        </is>
      </c>
      <c r="B2" s="2" t="n"/>
      <c r="C2" s="2" t="n"/>
      <c r="D2" s="2" t="n"/>
      <c r="E2" s="2" t="n"/>
      <c r="F2" s="2" t="n"/>
      <c r="G2" s="2" t="n"/>
      <c r="H2" s="2" t="n"/>
      <c r="I2" s="2" t="n"/>
    </row>
    <row r="3">
      <c r="A3" s="3" t="n"/>
      <c r="B3" s="3" t="n"/>
      <c r="C3" s="3" t="n"/>
      <c r="D3" s="3" t="n"/>
      <c r="E3" s="3" t="n"/>
      <c r="F3" s="3" t="n"/>
      <c r="G3" s="3" t="n"/>
      <c r="H3" s="3" t="n"/>
      <c r="I3" s="3" t="n"/>
    </row>
    <row r="4" ht="32" customHeight="1">
      <c r="A4" s="11" t="inlineStr">
        <is>
          <t>対象</t>
        </is>
      </c>
      <c r="B4" s="11" t="inlineStr">
        <is>
          <t>項目</t>
        </is>
      </c>
      <c r="C4" s="11" t="inlineStr">
        <is>
          <t>パターンB</t>
        </is>
      </c>
      <c r="D4" s="11" t="inlineStr">
        <is>
          <t>パターンC</t>
        </is>
      </c>
      <c r="E4" s="11" t="inlineStr">
        <is>
          <t>単位または形</t>
        </is>
      </c>
      <c r="F4" s="11" t="inlineStr">
        <is>
          <t>下限</t>
        </is>
      </c>
      <c r="G4" s="11" t="inlineStr">
        <is>
          <t>上限</t>
        </is>
      </c>
      <c r="H4" s="11" t="inlineStr">
        <is>
          <t>コマンドまたは条件</t>
        </is>
      </c>
      <c r="I4" s="11" t="inlineStr">
        <is>
          <t>補足</t>
        </is>
      </c>
    </row>
    <row r="5" ht="44" customHeight="1">
      <c r="A5" s="10" t="inlineStr">
        <is>
          <t>ADOT</t>
        </is>
      </c>
      <c r="B5" s="10" t="inlineStr">
        <is>
          <t>essential</t>
        </is>
      </c>
      <c r="C5" s="10" t="inlineStr">
        <is>
          <t>true</t>
        </is>
      </c>
      <c r="D5" s="10" t="inlineStr">
        <is>
          <t>true</t>
        </is>
      </c>
      <c r="E5" s="10" t="inlineStr">
        <is>
          <t>真偽</t>
        </is>
      </c>
      <c r="F5" s="10" t="inlineStr">
        <is>
          <t>—</t>
        </is>
      </c>
      <c r="G5" s="10" t="inlineStr">
        <is>
          <t>—</t>
        </is>
      </c>
      <c r="H5" s="10" t="inlineStr">
        <is>
          <t>—</t>
        </is>
      </c>
      <c r="I5" s="10" t="inlineStr">
        <is>
          <t>true にするとコレクタ停止でタスク全体が止まる。トレースが黙って消える状態を残さない選択。</t>
        </is>
      </c>
    </row>
    <row r="6" ht="40" customHeight="1">
      <c r="A6" s="9" t="inlineStr">
        <is>
          <t>ADOT</t>
        </is>
      </c>
      <c r="B6" s="9" t="inlineStr">
        <is>
          <t>dependsOn</t>
        </is>
      </c>
      <c r="C6" s="9" t="inlineStr">
        <is>
          <t>なし</t>
        </is>
      </c>
      <c r="D6" s="9" t="inlineStr">
        <is>
          <t>なし</t>
        </is>
      </c>
      <c r="E6" s="9" t="inlineStr">
        <is>
          <t>—</t>
        </is>
      </c>
      <c r="F6" s="9" t="inlineStr">
        <is>
          <t>—</t>
        </is>
      </c>
      <c r="G6" s="9" t="inlineStr">
        <is>
          <t>—</t>
        </is>
      </c>
      <c r="H6" s="9" t="inlineStr">
        <is>
          <t>先頭で起動</t>
        </is>
      </c>
      <c r="I6" s="9" t="inlineStr">
        <is>
          <t>待つ側に書きます。待たれる側には書きません。</t>
        </is>
      </c>
    </row>
    <row r="7" ht="76" customHeight="1">
      <c r="A7" s="10" t="inlineStr">
        <is>
          <t>ADOT</t>
        </is>
      </c>
      <c r="B7" s="10" t="inlineStr">
        <is>
          <t>interval</t>
        </is>
      </c>
      <c r="C7" s="24" t="n">
        <v>5</v>
      </c>
      <c r="D7" s="24" t="n">
        <v>5</v>
      </c>
      <c r="E7" s="10" t="inlineStr">
        <is>
          <t>秒</t>
        </is>
      </c>
      <c r="F7" s="24" t="n">
        <v>5</v>
      </c>
      <c r="G7" s="24" t="n">
        <v>300</v>
      </c>
      <c r="H7" s="10" t="inlineStr">
        <is>
          <t>["CMD","/healthcheck"]</t>
        </is>
      </c>
      <c r="I7" s="10" t="inlineStr">
        <is>
          <t>公式サンプルは interval 5、timeout 6、retries 5、startPeriod 1。timeout が interval 以上でもコンテナ検査は許可されます。</t>
        </is>
      </c>
    </row>
    <row r="8" ht="60" customHeight="1">
      <c r="A8" s="9" t="inlineStr">
        <is>
          <t>ADOT</t>
        </is>
      </c>
      <c r="B8" s="9" t="inlineStr">
        <is>
          <t>timeout</t>
        </is>
      </c>
      <c r="C8" s="25" t="n">
        <v>2</v>
      </c>
      <c r="D8" s="25" t="n">
        <v>2</v>
      </c>
      <c r="E8" s="9" t="inlineStr">
        <is>
          <t>秒</t>
        </is>
      </c>
      <c r="F8" s="25" t="n">
        <v>2</v>
      </c>
      <c r="G8" s="25" t="n">
        <v>60</v>
      </c>
      <c r="H8" s="9" t="inlineStr">
        <is>
          <t>/healthcheck はローカルで即返す</t>
        </is>
      </c>
      <c r="I8" s="9" t="inlineStr">
        <is>
          <t>2秒で足ります。ALBの「timeoutはintervalより短く」は、このコンテナ検査には適用されません。</t>
        </is>
      </c>
    </row>
    <row r="9" ht="44" customHeight="1">
      <c r="A9" s="10" t="inlineStr">
        <is>
          <t>ADOT</t>
        </is>
      </c>
      <c r="B9" s="10" t="inlineStr">
        <is>
          <t>retries</t>
        </is>
      </c>
      <c r="C9" s="24" t="n">
        <v>5</v>
      </c>
      <c r="D9" s="24" t="n">
        <v>5</v>
      </c>
      <c r="E9" s="10" t="inlineStr">
        <is>
          <t>回</t>
        </is>
      </c>
      <c r="F9" s="24" t="n">
        <v>1</v>
      </c>
      <c r="G9" s="24" t="n">
        <v>10</v>
      </c>
      <c r="H9" s="10" t="inlineStr">
        <is>
          <t>連続失敗でUNHEALTHY</t>
        </is>
      </c>
      <c r="I9" s="10" t="inlineStr">
        <is>
          <t>成功に必要な回数は1回です。retries は失敗の回数です。</t>
        </is>
      </c>
    </row>
    <row r="10" ht="44" customHeight="1">
      <c r="A10" s="9" t="inlineStr">
        <is>
          <t>ADOT</t>
        </is>
      </c>
      <c r="B10" s="9" t="inlineStr">
        <is>
          <t>startPeriod</t>
        </is>
      </c>
      <c r="C10" s="13">
        <f>'08_計算'!C10</f>
        <v/>
      </c>
      <c r="D10" s="13">
        <f>'08_計算'!C10</f>
        <v/>
      </c>
      <c r="E10" s="9" t="inlineStr">
        <is>
          <t>秒</t>
        </is>
      </c>
      <c r="F10" s="25" t="n">
        <v>0</v>
      </c>
      <c r="G10" s="25" t="n">
        <v>300</v>
      </c>
      <c r="H10" s="9" t="inlineStr">
        <is>
          <t>失敗の免責</t>
        </is>
      </c>
      <c r="I10" s="9" t="inlineStr">
        <is>
          <t>この間に成功すれば、すぐバックエンドを起動できます。60秒待ちません。</t>
        </is>
      </c>
    </row>
    <row r="11" ht="60" customHeight="1">
      <c r="A11" s="10" t="inlineStr">
        <is>
          <t>ADOT</t>
        </is>
      </c>
      <c r="B11" s="10" t="inlineStr">
        <is>
          <t>startTimeout</t>
        </is>
      </c>
      <c r="C11" s="12">
        <f>'08_計算'!C14</f>
        <v/>
      </c>
      <c r="D11" s="12">
        <f>'08_計算'!C14</f>
        <v/>
      </c>
      <c r="E11" s="10" t="inlineStr">
        <is>
          <t>秒</t>
        </is>
      </c>
      <c r="F11" s="24" t="n">
        <v>2</v>
      </c>
      <c r="G11" s="24" t="n">
        <v>120</v>
      </c>
      <c r="H11" s="10" t="inlineStr">
        <is>
          <t>ADOTコンテナに書く</t>
        </is>
      </c>
      <c r="I11" s="10" t="inlineStr">
        <is>
          <t>この秒までにHEALTHYにならなければ、待っているバックエンドは起動を諦め、タスクはSTOPPEDになります。</t>
        </is>
      </c>
    </row>
    <row r="12" ht="40" customHeight="1">
      <c r="A12" s="9" t="inlineStr">
        <is>
          <t>バックエンド</t>
        </is>
      </c>
      <c r="B12" s="9" t="inlineStr">
        <is>
          <t>essential</t>
        </is>
      </c>
      <c r="C12" s="9" t="inlineStr">
        <is>
          <t>true</t>
        </is>
      </c>
      <c r="D12" s="9" t="inlineStr">
        <is>
          <t>true</t>
        </is>
      </c>
      <c r="E12" s="9" t="inlineStr">
        <is>
          <t>真偽</t>
        </is>
      </c>
      <c r="F12" s="9" t="inlineStr">
        <is>
          <t>—</t>
        </is>
      </c>
      <c r="G12" s="9" t="inlineStr">
        <is>
          <t>—</t>
        </is>
      </c>
      <c r="H12" s="9" t="inlineStr">
        <is>
          <t>—</t>
        </is>
      </c>
      <c r="I12" s="9" t="inlineStr">
        <is>
          <t>API本体。</t>
        </is>
      </c>
    </row>
    <row r="13" ht="44" customHeight="1">
      <c r="A13" s="10" t="inlineStr">
        <is>
          <t>バックエンド</t>
        </is>
      </c>
      <c r="B13" s="10" t="inlineStr">
        <is>
          <t>dependsOn</t>
        </is>
      </c>
      <c r="C13" s="10" t="inlineStr">
        <is>
          <t>ADOT HEALTHY</t>
        </is>
      </c>
      <c r="D13" s="10" t="inlineStr">
        <is>
          <t>ADOT HEALTHY</t>
        </is>
      </c>
      <c r="E13" s="10" t="inlineStr">
        <is>
          <t>条件</t>
        </is>
      </c>
      <c r="F13" s="10" t="inlineStr">
        <is>
          <t>—</t>
        </is>
      </c>
      <c r="G13" s="10" t="inlineStr">
        <is>
          <t>—</t>
        </is>
      </c>
      <c r="H13" s="10" t="inlineStr">
        <is>
          <t>condition HEALTHY</t>
        </is>
      </c>
      <c r="I13" s="10" t="inlineStr">
        <is>
          <t>START はプロセス生成だけを見ます。ポートが開く前にトレースを送ると捨てられます。</t>
        </is>
      </c>
    </row>
    <row r="14" ht="76" customHeight="1">
      <c r="A14" s="9" t="inlineStr">
        <is>
          <t>バックエンド</t>
        </is>
      </c>
      <c r="B14" s="9" t="inlineStr">
        <is>
          <t>interval</t>
        </is>
      </c>
      <c r="C14" s="25" t="n">
        <v>10</v>
      </c>
      <c r="D14" s="25" t="n">
        <v>10</v>
      </c>
      <c r="E14" s="9" t="inlineStr">
        <is>
          <t>秒</t>
        </is>
      </c>
      <c r="F14" s="25" t="n">
        <v>5</v>
      </c>
      <c r="G14" s="25" t="n">
        <v>300</v>
      </c>
      <c r="H14" s="9" t="inlineStr">
        <is>
          <t>["CMD-SHELL","curl -f http://127.0.0.1:8080/health || exit 1"]</t>
        </is>
      </c>
      <c r="I14" s="9" t="inlineStr">
        <is>
          <t>8080 と /health は例。準備完了を返すURLにする。生存だけを返すURLだと、依存が早すぎる。</t>
        </is>
      </c>
    </row>
    <row r="15" ht="40" customHeight="1">
      <c r="A15" s="10" t="inlineStr">
        <is>
          <t>バックエンド</t>
        </is>
      </c>
      <c r="B15" s="10" t="inlineStr">
        <is>
          <t>timeout</t>
        </is>
      </c>
      <c r="C15" s="24" t="n">
        <v>5</v>
      </c>
      <c r="D15" s="24" t="n">
        <v>5</v>
      </c>
      <c r="E15" s="10" t="inlineStr">
        <is>
          <t>秒</t>
        </is>
      </c>
      <c r="F15" s="24" t="n">
        <v>2</v>
      </c>
      <c r="G15" s="24" t="n">
        <v>60</v>
      </c>
      <c r="H15" s="10" t="inlineStr">
        <is>
          <t>検査1回の上限</t>
        </is>
      </c>
      <c r="I15" s="10" t="inlineStr">
        <is>
          <t>interval 10 より短い。</t>
        </is>
      </c>
    </row>
    <row r="16" ht="40" customHeight="1">
      <c r="A16" s="9" t="inlineStr">
        <is>
          <t>バックエンド</t>
        </is>
      </c>
      <c r="B16" s="9" t="inlineStr">
        <is>
          <t>retries</t>
        </is>
      </c>
      <c r="C16" s="25" t="n">
        <v>3</v>
      </c>
      <c r="D16" s="25" t="n">
        <v>3</v>
      </c>
      <c r="E16" s="9" t="inlineStr">
        <is>
          <t>回</t>
        </is>
      </c>
      <c r="F16" s="25" t="n">
        <v>1</v>
      </c>
      <c r="G16" s="25" t="n">
        <v>10</v>
      </c>
      <c r="H16" s="9" t="inlineStr">
        <is>
          <t>免責後の連続失敗</t>
        </is>
      </c>
      <c r="I16" s="9" t="inlineStr">
        <is>
          <t>既定3。</t>
        </is>
      </c>
    </row>
    <row r="17" ht="40" customHeight="1">
      <c r="A17" s="10" t="inlineStr">
        <is>
          <t>バックエンド</t>
        </is>
      </c>
      <c r="B17" s="10" t="inlineStr">
        <is>
          <t>startPeriod</t>
        </is>
      </c>
      <c r="C17" s="12">
        <f>'08_計算'!C11</f>
        <v/>
      </c>
      <c r="D17" s="12">
        <f>'08_計算'!C11</f>
        <v/>
      </c>
      <c r="E17" s="10" t="inlineStr">
        <is>
          <t>秒</t>
        </is>
      </c>
      <c r="F17" s="24" t="n">
        <v>0</v>
      </c>
      <c r="G17" s="24" t="n">
        <v>300</v>
      </c>
      <c r="H17" s="10" t="inlineStr">
        <is>
          <t>起動予算＋余白、上限300</t>
        </is>
      </c>
      <c r="I17" s="10" t="inlineStr">
        <is>
          <t>プロセス開始から数える。タスク開始からではない。</t>
        </is>
      </c>
    </row>
    <row r="18" ht="76" customHeight="1">
      <c r="A18" s="9" t="inlineStr">
        <is>
          <t>バックエンド</t>
        </is>
      </c>
      <c r="B18" s="9" t="inlineStr">
        <is>
          <t>startTimeout</t>
        </is>
      </c>
      <c r="C18" s="9" t="inlineStr">
        <is>
          <t>空欄</t>
        </is>
      </c>
      <c r="D18" s="9" t="inlineStr">
        <is>
          <t>空欄</t>
        </is>
      </c>
      <c r="E18" s="9" t="inlineStr">
        <is>
          <t>秒</t>
        </is>
      </c>
      <c r="F18" s="25" t="n">
        <v>2</v>
      </c>
      <c r="G18" s="25" t="n">
        <v>120</v>
      </c>
      <c r="H18" s="9" t="inlineStr">
        <is>
          <t>書かない</t>
        </is>
      </c>
      <c r="I18" s="9" t="inlineStr">
        <is>
          <t>HEALTHYまでの最悪が120秒を超えるため。書くとフロントが必ず諦めます。未指定時の隠れた上限は公式ページに秒数がありません。試験デプロイで待ちきれることを確認します。</t>
        </is>
      </c>
    </row>
    <row r="19" ht="40" customHeight="1">
      <c r="A19" s="10" t="inlineStr">
        <is>
          <t>フロント</t>
        </is>
      </c>
      <c r="B19" s="10" t="inlineStr">
        <is>
          <t>essential</t>
        </is>
      </c>
      <c r="C19" s="10" t="inlineStr">
        <is>
          <t>true</t>
        </is>
      </c>
      <c r="D19" s="10" t="inlineStr">
        <is>
          <t>true</t>
        </is>
      </c>
      <c r="E19" s="10" t="inlineStr">
        <is>
          <t>真偽</t>
        </is>
      </c>
      <c r="F19" s="10" t="inlineStr">
        <is>
          <t>—</t>
        </is>
      </c>
      <c r="G19" s="10" t="inlineStr">
        <is>
          <t>—</t>
        </is>
      </c>
      <c r="H19" s="10" t="inlineStr">
        <is>
          <t>—</t>
        </is>
      </c>
      <c r="I19" s="10" t="inlineStr">
        <is>
          <t>ALBのターゲット。</t>
        </is>
      </c>
    </row>
    <row r="20" ht="44" customHeight="1">
      <c r="A20" s="9" t="inlineStr">
        <is>
          <t>フロント</t>
        </is>
      </c>
      <c r="B20" s="9" t="inlineStr">
        <is>
          <t>dependsOn</t>
        </is>
      </c>
      <c r="C20" s="9" t="inlineStr">
        <is>
          <t>バックエンド HEALTHY</t>
        </is>
      </c>
      <c r="D20" s="9" t="inlineStr">
        <is>
          <t>なし</t>
        </is>
      </c>
      <c r="E20" s="9" t="inlineStr">
        <is>
          <t>条件</t>
        </is>
      </c>
      <c r="F20" s="9" t="inlineStr">
        <is>
          <t>—</t>
        </is>
      </c>
      <c r="G20" s="9" t="inlineStr">
        <is>
          <t>—</t>
        </is>
      </c>
      <c r="H20" s="9" t="inlineStr">
        <is>
          <t>パターンBだけHEALTHY</t>
        </is>
      </c>
      <c r="I20" s="9" t="inlineStr">
        <is>
          <t>終了時は逆順。フロントが止まってからバックエンドが止まる。</t>
        </is>
      </c>
    </row>
    <row r="21" ht="76" customHeight="1">
      <c r="A21" s="10" t="inlineStr">
        <is>
          <t>フロント</t>
        </is>
      </c>
      <c r="B21" s="10" t="inlineStr">
        <is>
          <t>interval</t>
        </is>
      </c>
      <c r="C21" s="24" t="n">
        <v>10</v>
      </c>
      <c r="D21" s="24" t="n">
        <v>10</v>
      </c>
      <c r="E21" s="10" t="inlineStr">
        <is>
          <t>秒</t>
        </is>
      </c>
      <c r="F21" s="24" t="n">
        <v>5</v>
      </c>
      <c r="G21" s="24" t="n">
        <v>300</v>
      </c>
      <c r="H21" s="10" t="inlineStr">
        <is>
          <t>["CMD-SHELL","curl -f http://127.0.0.1:3000/health || exit 1"]</t>
        </is>
      </c>
      <c r="I21" s="10" t="inlineStr">
        <is>
          <t>ポートは例。ALBと同じ準備完了の意味にする。</t>
        </is>
      </c>
    </row>
    <row r="22" ht="40" customHeight="1">
      <c r="A22" s="9" t="inlineStr">
        <is>
          <t>フロント</t>
        </is>
      </c>
      <c r="B22" s="9" t="inlineStr">
        <is>
          <t>timeout</t>
        </is>
      </c>
      <c r="C22" s="25" t="n">
        <v>5</v>
      </c>
      <c r="D22" s="25" t="n">
        <v>5</v>
      </c>
      <c r="E22" s="9" t="inlineStr">
        <is>
          <t>秒</t>
        </is>
      </c>
      <c r="F22" s="25" t="n">
        <v>2</v>
      </c>
      <c r="G22" s="25" t="n">
        <v>60</v>
      </c>
      <c r="H22" s="9" t="inlineStr">
        <is>
          <t>検査1回の上限</t>
        </is>
      </c>
      <c r="I22" s="9" t="inlineStr"/>
    </row>
    <row r="23" ht="40" customHeight="1">
      <c r="A23" s="10" t="inlineStr">
        <is>
          <t>フロント</t>
        </is>
      </c>
      <c r="B23" s="10" t="inlineStr">
        <is>
          <t>retries</t>
        </is>
      </c>
      <c r="C23" s="24" t="n">
        <v>3</v>
      </c>
      <c r="D23" s="24" t="n">
        <v>3</v>
      </c>
      <c r="E23" s="10" t="inlineStr">
        <is>
          <t>回</t>
        </is>
      </c>
      <c r="F23" s="24" t="n">
        <v>1</v>
      </c>
      <c r="G23" s="24" t="n">
        <v>10</v>
      </c>
      <c r="H23" s="10" t="inlineStr">
        <is>
          <t>免責後の連続失敗</t>
        </is>
      </c>
      <c r="I23" s="10" t="inlineStr"/>
    </row>
    <row r="24" ht="44" customHeight="1">
      <c r="A24" s="9" t="inlineStr">
        <is>
          <t>フロント</t>
        </is>
      </c>
      <c r="B24" s="9" t="inlineStr">
        <is>
          <t>startPeriod</t>
        </is>
      </c>
      <c r="C24" s="13">
        <f>'08_計算'!C12</f>
        <v/>
      </c>
      <c r="D24" s="13">
        <f>'08_計算'!C12</f>
        <v/>
      </c>
      <c r="E24" s="9" t="inlineStr">
        <is>
          <t>秒</t>
        </is>
      </c>
      <c r="F24" s="25" t="n">
        <v>0</v>
      </c>
      <c r="G24" s="25" t="n">
        <v>300</v>
      </c>
      <c r="H24" s="9" t="inlineStr">
        <is>
          <t>フロントのプロセス開始から</t>
        </is>
      </c>
      <c r="I24" s="9" t="inlineStr">
        <is>
          <t>直列の待ち時間はここには含まれない。待ちは相手のHEALTHYが担当する。</t>
        </is>
      </c>
    </row>
    <row r="25" ht="40" customHeight="1">
      <c r="A25" s="10" t="inlineStr">
        <is>
          <t>フロント</t>
        </is>
      </c>
      <c r="B25" s="10" t="inlineStr">
        <is>
          <t>startTimeout</t>
        </is>
      </c>
      <c r="C25" s="10" t="inlineStr">
        <is>
          <t>空欄</t>
        </is>
      </c>
      <c r="D25" s="10" t="inlineStr">
        <is>
          <t>空欄</t>
        </is>
      </c>
      <c r="E25" s="10" t="inlineStr">
        <is>
          <t>秒</t>
        </is>
      </c>
      <c r="F25" s="24" t="n">
        <v>2</v>
      </c>
      <c r="G25" s="24" t="n">
        <v>120</v>
      </c>
      <c r="H25" s="10" t="inlineStr">
        <is>
          <t>書かない</t>
        </is>
      </c>
      <c r="I25" s="10" t="inlineStr">
        <is>
          <t>バックエンド側の待ちが上限を超える。</t>
        </is>
      </c>
    </row>
    <row r="26" ht="44" customHeight="1">
      <c r="A26" s="9" t="inlineStr">
        <is>
          <t>CW Agent</t>
        </is>
      </c>
      <c r="B26" s="9" t="inlineStr">
        <is>
          <t>essential</t>
        </is>
      </c>
      <c r="C26" s="9" t="inlineStr">
        <is>
          <t>false</t>
        </is>
      </c>
      <c r="D26" s="9" t="inlineStr">
        <is>
          <t>false</t>
        </is>
      </c>
      <c r="E26" s="9" t="inlineStr">
        <is>
          <t>真偽</t>
        </is>
      </c>
      <c r="F26" s="9" t="inlineStr">
        <is>
          <t>—</t>
        </is>
      </c>
      <c r="G26" s="9" t="inlineStr">
        <is>
          <t>—</t>
        </is>
      </c>
      <c r="H26" s="9" t="inlineStr">
        <is>
          <t>—</t>
        </is>
      </c>
      <c r="I26" s="9" t="inlineStr">
        <is>
          <t>false なので、検査失敗でもタスクヘルスには入らない。タスクは動き続ける。</t>
        </is>
      </c>
    </row>
    <row r="27" ht="44" customHeight="1">
      <c r="A27" s="10" t="inlineStr">
        <is>
          <t>CW Agent</t>
        </is>
      </c>
      <c r="B27" s="10" t="inlineStr">
        <is>
          <t>dependsOn</t>
        </is>
      </c>
      <c r="C27" s="10" t="inlineStr">
        <is>
          <t>なし</t>
        </is>
      </c>
      <c r="D27" s="10" t="inlineStr">
        <is>
          <t>なし</t>
        </is>
      </c>
      <c r="E27" s="10" t="inlineStr">
        <is>
          <t>—</t>
        </is>
      </c>
      <c r="F27" s="10" t="inlineStr">
        <is>
          <t>—</t>
        </is>
      </c>
      <c r="G27" s="10" t="inlineStr">
        <is>
          <t>—</t>
        </is>
      </c>
      <c r="H27" s="10" t="inlineStr">
        <is>
          <t>書かない</t>
        </is>
      </c>
      <c r="I27" s="10" t="inlineStr">
        <is>
          <t>起動順の外。ログドライバ awslogs は、このサイドカーを待たずにログを出せます。</t>
        </is>
      </c>
    </row>
    <row r="28" ht="92" customHeight="1">
      <c r="A28" s="9" t="inlineStr">
        <is>
          <t>CW Agent</t>
        </is>
      </c>
      <c r="B28" s="9" t="inlineStr">
        <is>
          <t>interval</t>
        </is>
      </c>
      <c r="C28" s="25" t="n">
        <v>30</v>
      </c>
      <c r="D28" s="25" t="n">
        <v>30</v>
      </c>
      <c r="E28" s="9" t="inlineStr">
        <is>
          <t>秒</t>
        </is>
      </c>
      <c r="F28" s="25" t="n">
        <v>5</v>
      </c>
      <c r="G28" s="25" t="n">
        <v>300</v>
      </c>
      <c r="H28" s="9" t="inlineStr">
        <is>
          <t>["CMD-SHELL","ps -eo args | grep -v grep | grep -q amazon-cloudwatch-agent || exit 1"]</t>
        </is>
      </c>
      <c r="I28" s="9" t="inlineStr">
        <is>
          <t>プロセス名はイメージで確認。ps が無いイメージではこのコマンドは失敗します。essential false なのでタスクは落ちませんが、UNHEALTHY表示は残ります。</t>
        </is>
      </c>
    </row>
    <row r="29" ht="40" customHeight="1">
      <c r="A29" s="10" t="inlineStr">
        <is>
          <t>CW Agent</t>
        </is>
      </c>
      <c r="B29" s="10" t="inlineStr">
        <is>
          <t>timeout</t>
        </is>
      </c>
      <c r="C29" s="24" t="n">
        <v>5</v>
      </c>
      <c r="D29" s="24" t="n">
        <v>5</v>
      </c>
      <c r="E29" s="10" t="inlineStr">
        <is>
          <t>秒</t>
        </is>
      </c>
      <c r="F29" s="24" t="n">
        <v>2</v>
      </c>
      <c r="G29" s="24" t="n">
        <v>60</v>
      </c>
      <c r="H29" s="10" t="inlineStr"/>
      <c r="I29" s="10" t="inlineStr"/>
    </row>
    <row r="30" ht="40" customHeight="1">
      <c r="A30" s="9" t="inlineStr">
        <is>
          <t>CW Agent</t>
        </is>
      </c>
      <c r="B30" s="9" t="inlineStr">
        <is>
          <t>retries</t>
        </is>
      </c>
      <c r="C30" s="25" t="n">
        <v>3</v>
      </c>
      <c r="D30" s="25" t="n">
        <v>3</v>
      </c>
      <c r="E30" s="9" t="inlineStr">
        <is>
          <t>回</t>
        </is>
      </c>
      <c r="F30" s="25" t="n">
        <v>1</v>
      </c>
      <c r="G30" s="25" t="n">
        <v>10</v>
      </c>
      <c r="H30" s="9" t="inlineStr"/>
      <c r="I30" s="9" t="inlineStr"/>
    </row>
    <row r="31" ht="40" customHeight="1">
      <c r="A31" s="10" t="inlineStr">
        <is>
          <t>CW Agent</t>
        </is>
      </c>
      <c r="B31" s="10" t="inlineStr">
        <is>
          <t>startPeriod</t>
        </is>
      </c>
      <c r="C31" s="12">
        <f>'08_計算'!C13</f>
        <v/>
      </c>
      <c r="D31" s="12">
        <f>'08_計算'!C13</f>
        <v/>
      </c>
      <c r="E31" s="10" t="inlineStr">
        <is>
          <t>秒</t>
        </is>
      </c>
      <c r="F31" s="24" t="n">
        <v>0</v>
      </c>
      <c r="G31" s="24" t="n">
        <v>300</v>
      </c>
      <c r="H31" s="10" t="inlineStr"/>
      <c r="I31" s="10" t="inlineStr">
        <is>
          <t>直列時間に加算しない。</t>
        </is>
      </c>
    </row>
    <row r="32" ht="40" customHeight="1">
      <c r="A32" s="9" t="inlineStr">
        <is>
          <t>CW Agent</t>
        </is>
      </c>
      <c r="B32" s="9" t="inlineStr">
        <is>
          <t>startTimeout</t>
        </is>
      </c>
      <c r="C32" s="9" t="inlineStr">
        <is>
          <t>空欄</t>
        </is>
      </c>
      <c r="D32" s="9" t="inlineStr">
        <is>
          <t>空欄</t>
        </is>
      </c>
      <c r="E32" s="9" t="inlineStr">
        <is>
          <t>—</t>
        </is>
      </c>
      <c r="F32" s="25" t="n">
        <v>2</v>
      </c>
      <c r="G32" s="25" t="n">
        <v>120</v>
      </c>
      <c r="H32" s="9" t="inlineStr"/>
      <c r="I32" s="9" t="inlineStr"/>
    </row>
    <row r="33" ht="60" customHeight="1">
      <c r="A33" s="10" t="inlineStr">
        <is>
          <t>ECSサービス</t>
        </is>
      </c>
      <c r="B33" s="10" t="inlineStr">
        <is>
          <t>healthCheckGracePeriodSeconds</t>
        </is>
      </c>
      <c r="C33" s="12">
        <f>'08_計算'!C35</f>
        <v/>
      </c>
      <c r="D33" s="12">
        <f>'08_計算'!C45</f>
        <v/>
      </c>
      <c r="E33" s="10" t="inlineStr">
        <is>
          <t>秒</t>
        </is>
      </c>
      <c r="F33" s="24" t="n">
        <v>0</v>
      </c>
      <c r="G33" s="24" t="n">
        <v>2147483647</v>
      </c>
      <c r="H33" s="10" t="inlineStr">
        <is>
          <t>B列の隣はパターンBの安全側推奨。C列の隣はパターンC</t>
        </is>
      </c>
      <c r="I33" s="10" t="inlineStr">
        <is>
          <t>既定0。変更しても新しいデプロイは自動では始まりません。</t>
        </is>
      </c>
    </row>
    <row r="34" ht="40" customHeight="1">
      <c r="A34" s="9" t="inlineStr">
        <is>
          <t>ALB TG</t>
        </is>
      </c>
      <c r="B34" s="9" t="inlineStr">
        <is>
          <t>Interval</t>
        </is>
      </c>
      <c r="C34" s="25" t="n">
        <v>10</v>
      </c>
      <c r="D34" s="25" t="n">
        <v>10</v>
      </c>
      <c r="E34" s="9" t="inlineStr">
        <is>
          <t>秒</t>
        </is>
      </c>
      <c r="F34" s="25" t="n">
        <v>5</v>
      </c>
      <c r="G34" s="25" t="n">
        <v>300</v>
      </c>
      <c r="H34" s="9" t="inlineStr">
        <is>
          <t>フロントのポート</t>
        </is>
      </c>
      <c r="I34" s="9" t="inlineStr">
        <is>
          <t>既定30。</t>
        </is>
      </c>
    </row>
    <row r="35" ht="60" customHeight="1">
      <c r="A35" s="10" t="inlineStr">
        <is>
          <t>ALB TG</t>
        </is>
      </c>
      <c r="B35" s="10" t="inlineStr">
        <is>
          <t>Timeout</t>
        </is>
      </c>
      <c r="C35" s="24" t="n">
        <v>5</v>
      </c>
      <c r="D35" s="24" t="n">
        <v>5</v>
      </c>
      <c r="E35" s="10" t="inlineStr">
        <is>
          <t>秒</t>
        </is>
      </c>
      <c r="F35" s="24" t="n">
        <v>2</v>
      </c>
      <c r="G35" s="24" t="n">
        <v>120</v>
      </c>
      <c r="H35" s="10" t="inlineStr">
        <is>
          <t>間隔より短く保つ</t>
        </is>
      </c>
      <c r="I35" s="10" t="inlineStr">
        <is>
          <t>既定5。Classic ELBのAPIは timeout &lt; interval を明記。推奨値はその関係を満たす。</t>
        </is>
      </c>
    </row>
    <row r="36" ht="44" customHeight="1">
      <c r="A36" s="9" t="inlineStr">
        <is>
          <t>ALB TG</t>
        </is>
      </c>
      <c r="B36" s="9" t="inlineStr">
        <is>
          <t>Healthy threshold</t>
        </is>
      </c>
      <c r="C36" s="25" t="n">
        <v>2</v>
      </c>
      <c r="D36" s="25" t="n">
        <v>2</v>
      </c>
      <c r="E36" s="9" t="inlineStr">
        <is>
          <t>回</t>
        </is>
      </c>
      <c r="F36" s="25" t="n">
        <v>2</v>
      </c>
      <c r="G36" s="25" t="n">
        <v>10</v>
      </c>
      <c r="H36" s="9" t="inlineStr">
        <is>
          <t>故障札からの復帰</t>
        </is>
      </c>
      <c r="I36" s="9" t="inlineStr">
        <is>
          <t>新規登録のままなら成功1回でhealthy。既定5。</t>
        </is>
      </c>
    </row>
    <row r="37" ht="44" customHeight="1">
      <c r="A37" s="10" t="inlineStr">
        <is>
          <t>ALB TG</t>
        </is>
      </c>
      <c r="B37" s="10" t="inlineStr">
        <is>
          <t>Unhealthy threshold</t>
        </is>
      </c>
      <c r="C37" s="24" t="n">
        <v>3</v>
      </c>
      <c r="D37" s="24" t="n">
        <v>3</v>
      </c>
      <c r="E37" s="10" t="inlineStr">
        <is>
          <t>回</t>
        </is>
      </c>
      <c r="F37" s="24" t="n">
        <v>2</v>
      </c>
      <c r="G37" s="24" t="n">
        <v>10</v>
      </c>
      <c r="H37" s="10" t="inlineStr">
        <is>
          <t>故障札にする連続失敗</t>
        </is>
      </c>
      <c r="I37" s="10" t="inlineStr">
        <is>
          <t>既定2。</t>
        </is>
      </c>
    </row>
    <row r="38" ht="44" customHeight="1">
      <c r="A38" s="9" t="inlineStr">
        <is>
          <t>ALB TG</t>
        </is>
      </c>
      <c r="B38" s="9" t="inlineStr">
        <is>
          <t>Path / Matcher</t>
        </is>
      </c>
      <c r="C38" s="9" t="inlineStr">
        <is>
          <t>準備完了パス / 200</t>
        </is>
      </c>
      <c r="D38" s="9" t="inlineStr">
        <is>
          <t>同じ</t>
        </is>
      </c>
      <c r="E38" s="9" t="inlineStr">
        <is>
          <t>—</t>
        </is>
      </c>
      <c r="F38" s="9" t="inlineStr">
        <is>
          <t>—</t>
        </is>
      </c>
      <c r="G38" s="9" t="inlineStr">
        <is>
          <t>—</t>
        </is>
      </c>
      <c r="H38" s="9" t="inlineStr">
        <is>
          <t>成功コードは200〜499で指定可。既定200</t>
        </is>
      </c>
      <c r="I38" s="9" t="inlineStr">
        <is>
          <t>13133はALBに向けません。</t>
        </is>
      </c>
    </row>
    <row r="39" ht="44" customHeight="1">
      <c r="A39" s="10" t="inlineStr">
        <is>
          <t>ALB TG</t>
        </is>
      </c>
      <c r="B39" s="10" t="inlineStr">
        <is>
          <t>Slow start</t>
        </is>
      </c>
      <c r="C39" s="24" t="n">
        <v>0</v>
      </c>
      <c r="D39" s="24" t="n">
        <v>0</v>
      </c>
      <c r="E39" s="10" t="inlineStr">
        <is>
          <t>秒</t>
        </is>
      </c>
      <c r="F39" s="24" t="n">
        <v>0</v>
      </c>
      <c r="G39" s="24" t="n">
        <v>900</v>
      </c>
      <c r="H39" s="10" t="inlineStr">
        <is>
          <t>0は無効。有効時は30〜900</t>
        </is>
      </c>
      <c r="I39" s="10" t="inlineStr">
        <is>
          <t>healthy のあと流量を増やす機能。検査開始は遅らせません。</t>
        </is>
      </c>
    </row>
    <row r="40" ht="44" customHeight="1">
      <c r="A40" s="9" t="inlineStr">
        <is>
          <t>ALB TG</t>
        </is>
      </c>
      <c r="B40" s="9" t="inlineStr">
        <is>
          <t>登録解除の遅延</t>
        </is>
      </c>
      <c r="C40" s="9" t="inlineStr">
        <is>
          <t>リクエストの最大時間に合わせる</t>
        </is>
      </c>
      <c r="D40" s="9" t="inlineStr">
        <is>
          <t>同じ</t>
        </is>
      </c>
      <c r="E40" s="9" t="inlineStr">
        <is>
          <t>秒</t>
        </is>
      </c>
      <c r="F40" s="25" t="n">
        <v>0</v>
      </c>
      <c r="G40" s="25" t="n">
        <v>3600</v>
      </c>
      <c r="H40" s="9" t="inlineStr">
        <is>
          <t>既定300</t>
        </is>
      </c>
      <c r="I40" s="9" t="inlineStr">
        <is>
          <t>閉店後に既存接続を送り出す時間。起動の猶予ではない。</t>
        </is>
      </c>
    </row>
  </sheetData>
  <autoFilter ref="A4:I40"/>
  <mergeCells count="2">
    <mergeCell ref="A1:I1"/>
    <mergeCell ref="A2:I2"/>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採用設定値</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13.xml><?xml version="1.0" encoding="utf-8"?>
<worksheet xmlns="http://schemas.openxmlformats.org/spreadsheetml/2006/main">
  <sheetPr>
    <tabColor rgb="004A4A4A"/>
    <outlinePr summaryBelow="1" summaryRight="1"/>
    <pageSetUpPr fitToPage="1"/>
  </sheetPr>
  <dimension ref="A1:A18"/>
  <sheetViews>
    <sheetView showGridLines="0" view="normal" zoomScale="110" zoomScaleNormal="110" workbookViewId="0">
      <pane ySplit="3" topLeftCell="A4" activePane="bottomLeft" state="frozen"/>
      <selection pane="bottomLeft" activeCell="A1" sqref="A1"/>
    </sheetView>
  </sheetViews>
  <sheetFormatPr baseColWidth="8" defaultColWidth="12" defaultRowHeight="18"/>
  <cols>
    <col width="120" customWidth="1" min="1" max="1"/>
  </cols>
  <sheetData>
    <row r="1" ht="32" customHeight="1">
      <c r="A1" s="1" t="inlineStr">
        <is>
          <t>12_取り違え</t>
        </is>
      </c>
    </row>
    <row r="2" ht="36" customHeight="1">
      <c r="A2" s="2" t="inlineStr">
        <is>
          <t>300秒と表示される隣の設定は、開店の時計ではありません。</t>
        </is>
      </c>
    </row>
    <row r="3">
      <c r="A3" s="3" t="n"/>
    </row>
    <row r="4" ht="26" customHeight="1">
      <c r="A4" s="18" t="inlineStr">
        <is>
          <t>サービスの猶予</t>
        </is>
      </c>
    </row>
    <row r="5" ht="44" customHeight="1">
      <c r="A5" s="5" t="inlineStr">
        <is>
          <t>場所は ECS サービスの healthCheckGracePeriodSeconds です。既定は0です。開店から、店長が赤札を無視する時間です。今回伸ばすのはここです。</t>
        </is>
      </c>
    </row>
    <row r="6" ht="26" customHeight="1">
      <c r="A6" s="18" t="inlineStr">
        <is>
          <t>登録解除の遅延</t>
        </is>
      </c>
    </row>
    <row r="7" ht="62" customHeight="1">
      <c r="A7" s="5" t="inlineStr">
        <is>
          <t>場所はターゲットグループの属性 deregistration_delay.timeout_seconds です。既定は300秒、範囲は0〜3600秒です。店を閉めるとき、いま処理中のリクエストを送り出す時間です。デプロイの終盤で古いタスクが残る長さに効きます。起動の失敗を見逃す長さには効きません。</t>
        </is>
      </c>
    </row>
    <row r="8" ht="44" customHeight="1">
      <c r="A8" s="5" t="inlineStr">
        <is>
          <t>短時間のAPIなら120秒でも足りることが多いです。長時間のダウンロードやWebSocketがあるなら、その最大時間に合わせます。今回の起動問題の解として300のまま残しても、直列起動の失敗は防げません。</t>
        </is>
      </c>
    </row>
    <row r="9" ht="26" customHeight="1">
      <c r="A9" s="18" t="inlineStr">
        <is>
          <t>アイドルタイムアウト</t>
        </is>
      </c>
    </row>
    <row r="10" ht="44" customHeight="1">
      <c r="A10" s="5" t="inlineStr">
        <is>
          <t>ALBの無通信接続を切る秒数です。既定60秒、範囲は1〜4000秒です。リクエストの処理中ではなく、黙っている接続の話です。起動順とは別です。</t>
        </is>
      </c>
    </row>
    <row r="11" ht="26" customHeight="1">
      <c r="A11" s="18" t="inlineStr">
        <is>
          <t>スロースタート</t>
        </is>
      </c>
    </row>
    <row r="12" ht="44" customHeight="1">
      <c r="A12" s="5" t="inlineStr">
        <is>
          <t>ターゲットが healthy になったあと、流量を徐々に増やす秒数です。0で無効、有効なら30〜900秒です。ノックの開始は早まりも遅れもしません。準備完了前の赤札は解けません。</t>
        </is>
      </c>
    </row>
    <row r="13" ht="26" customHeight="1">
      <c r="A13" s="18" t="inlineStr">
        <is>
          <t>Auto Scaling の300秒</t>
        </is>
      </c>
    </row>
    <row r="14" ht="44" customHeight="1">
      <c r="A14" s="5" t="inlineStr">
        <is>
          <t>EC2 Auto Scaling のヘルスチェック猶予は、コンソールでグループを作ると300秒になっていることがあります。ECSタスクの起動とは別の機能です。</t>
        </is>
      </c>
    </row>
    <row r="15" ht="26" customHeight="1">
      <c r="A15" s="18" t="inlineStr">
        <is>
          <t>startPeriod の300秒</t>
        </is>
      </c>
    </row>
    <row r="16" ht="44" customHeight="1">
      <c r="A16" s="5" t="inlineStr">
        <is>
          <t>これは上限です。既定値ではありません。既定はオフです。300を指定すると、そのコンテナの失敗免責が最大になります。タスクの猶予が300になる、という意味ではありません。</t>
        </is>
      </c>
    </row>
    <row r="17" ht="26" customHeight="1">
      <c r="A17" s="18" t="inlineStr">
        <is>
          <t>コンテナ検査の retries と、ALBの健全しきい値</t>
        </is>
      </c>
    </row>
    <row r="18" ht="44" customHeight="1">
      <c r="A18" s="5" t="inlineStr">
        <is>
          <t>retries は失敗が何回続いたら病気にするか、です。健全しきい値は、故障札の店を何回連続成功で案内先に戻すか、です。両方を「5回成功でOK」と読むと、起動時間の見積もりがずれます。コンテナがHEALTHYになる成功回数は1回です。</t>
        </is>
      </c>
    </row>
  </sheetData>
  <mergeCells count="2">
    <mergeCell ref="A2"/>
    <mergeCell ref="A1"/>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12_取り違え</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14.xml><?xml version="1.0" encoding="utf-8"?>
<worksheet xmlns="http://schemas.openxmlformats.org/spreadsheetml/2006/main">
  <sheetPr>
    <tabColor rgb="004A4A4A"/>
    <outlinePr summaryBelow="1" summaryRight="1"/>
    <pageSetUpPr fitToPage="1"/>
  </sheetPr>
  <dimension ref="A1:A24"/>
  <sheetViews>
    <sheetView showGridLines="0" view="normal" zoomScale="110" zoomScaleNormal="110" workbookViewId="0">
      <pane ySplit="3" topLeftCell="A4" activePane="bottomLeft" state="frozen"/>
      <selection pane="bottomLeft" activeCell="A1" sqref="A1"/>
    </sheetView>
  </sheetViews>
  <sheetFormatPr baseColWidth="8" defaultColWidth="12" defaultRowHeight="18"/>
  <cols>
    <col width="120" customWidth="1" min="1" max="1"/>
  </cols>
  <sheetData>
    <row r="1" ht="32" customHeight="1">
      <c r="A1" s="1" t="inlineStr">
        <is>
          <t>13_チェックリスト</t>
        </is>
      </c>
    </row>
    <row r="2" ht="36" customHeight="1">
      <c r="A2" s="2" t="inlineStr">
        <is>
          <t>値を入れる前と、入れたあとの確認です。</t>
        </is>
      </c>
    </row>
    <row r="3">
      <c r="A3" s="3" t="n"/>
    </row>
    <row r="4" ht="26" customHeight="1">
      <c r="A4" s="18" t="inlineStr">
        <is>
          <t>測る</t>
        </is>
      </c>
    </row>
    <row r="5" ht="34" customHeight="1">
      <c r="A5" s="5" t="inlineStr">
        <is>
          <t>1. いったん猶予を長め（たとえば900秒）にし、依存なしで1回デプロイする。タスクが途中で殺されない状態で、各コンテナの実時間を測る。</t>
        </is>
      </c>
    </row>
    <row r="6" ht="44" customHeight="1">
      <c r="A6" s="5" t="inlineStr">
        <is>
          <t>2. DescribeTasks で pullStartedAt、pullStoppedAt、startedAt を見る。P は取得の差。猶予の起点は、ターゲット登録時刻と startedAt の早い方に寄せる。</t>
        </is>
      </c>
    </row>
    <row r="7" ht="44" customHeight="1">
      <c r="A7" s="5" t="inlineStr">
        <is>
          <t>3. ADOT、バックエンド、フロントのそれぞれについて、プロセス開始から検査成功までの秒を B として 07_前提へ入れる。サイドカーがいるタスクで測る。</t>
        </is>
      </c>
    </row>
    <row r="8" ht="44" customHeight="1">
      <c r="A8" s="5" t="inlineStr">
        <is>
          <t>4. ターゲットグループの間隔、健全しきい値、不健全しきい値を 07_前提の現行ALBへ入れる。不明のままなら既定30、5、2のままにする。</t>
        </is>
      </c>
    </row>
    <row r="9" ht="26" customHeight="1">
      <c r="A9" s="18" t="inlineStr">
        <is>
          <t>選ぶ</t>
        </is>
      </c>
    </row>
    <row r="10" ht="34" customHeight="1">
      <c r="A10" s="5" t="inlineStr">
        <is>
          <t>5. フロントの準備完了URLがバックエンドを呼ぶなら、パターンCの短さは使わない。パターンBかDの式を見る。</t>
        </is>
      </c>
    </row>
    <row r="11" ht="34" customHeight="1">
      <c r="A11" s="5" t="inlineStr">
        <is>
          <t>6. トレースの再送がアプリに無いなら、バックエンドの depends_on は ADOT の HEALTHY のままにする。</t>
        </is>
      </c>
    </row>
    <row r="12" ht="34" customHeight="1">
      <c r="A12" s="5" t="inlineStr">
        <is>
          <t>7. フロントのプロセス自体を厨房のあとで起動する要件があるならパターンB。APIリトライで足りるならパターンC。</t>
        </is>
      </c>
    </row>
    <row r="13" ht="44" customHeight="1">
      <c r="A13" s="5" t="inlineStr">
        <is>
          <t>8. パターンBの推奨猶予をサービスへ入れる。startPeriodは計算シートの値のまま。バックエンドの startTimeout は空欄。ADOTの startTimeout は計算値。</t>
        </is>
      </c>
    </row>
    <row r="14" ht="26" customHeight="1">
      <c r="A14" s="18" t="inlineStr">
        <is>
          <t>設定の中身</t>
        </is>
      </c>
    </row>
    <row r="15" ht="44" customHeight="1">
      <c r="A15" s="5" t="inlineStr">
        <is>
          <t>9. ADOTの設定YAMLに health_check 拡張と 13133 がある。タスク定義のコマンドは CMD /healthcheck。イメージにそのバイナリがある。</t>
        </is>
      </c>
    </row>
    <row r="16" ht="44" customHeight="1">
      <c r="A16" s="5" t="inlineStr">
        <is>
          <t>10. アプリの検査コマンドが使う curl や wget が、そのイメージに入っている。distroless なら、シェル無しの CMD で動く検査にする。</t>
        </is>
      </c>
    </row>
    <row r="17" ht="34" customHeight="1">
      <c r="A17" s="5" t="inlineStr">
        <is>
          <t>11. ALBのパスはフロントの準備完了。13133ではない。成功コードはアプリが準備完了時に返すコードと一致する。</t>
        </is>
      </c>
    </row>
    <row r="18" ht="34" customHeight="1">
      <c r="A18" s="5" t="inlineStr">
        <is>
          <t>12. プラットフォームバージョンは Linux 1.4.0 以降。依存と startTimeout は 1.3.0 以降が必要。</t>
        </is>
      </c>
    </row>
    <row r="19" ht="26" customHeight="1">
      <c r="A19" s="18" t="inlineStr">
        <is>
          <t>入れたあと</t>
        </is>
      </c>
    </row>
    <row r="20" ht="44" customHeight="1">
      <c r="A20" s="5" t="inlineStr">
        <is>
          <t>13. デプロイ中に UnHealthyHostCount が増えること自体は、猶予中なら想定内。増えたあと、推奨猶予以内に healthy へ戻ることを見る。</t>
        </is>
      </c>
    </row>
    <row r="21" ht="34" customHeight="1">
      <c r="A21" s="5" t="inlineStr">
        <is>
          <t>14. 300秒付近でタスクが置き換わるなら、猶予がまだ短い。09_300秒の現場の「不足」の行を見る。</t>
        </is>
      </c>
    </row>
    <row r="22" ht="44" customHeight="1">
      <c r="A22" s="5" t="inlineStr">
        <is>
          <t>15. フロントがずっと起動しないなら、ADOTの検査が失敗している。startTimeout で STOPPED になっていないかを停止理由で見る。</t>
        </is>
      </c>
    </row>
    <row r="23" ht="34" customHeight="1">
      <c r="A23" s="5" t="inlineStr">
        <is>
          <t>16. サーキットブレーカーとロールバックを有効にする。猶予を延ばしたぶん、壊れたデプロイの打ち切りはブレーカーが担当する。</t>
        </is>
      </c>
    </row>
    <row r="24" ht="44" customHeight="1">
      <c r="A24" s="5" t="inlineStr">
        <is>
          <t>17. desiredCount 1 のフェイルオープンを許容しないなら、タスク数か minimumHealthyPercent を見直す。</t>
        </is>
      </c>
    </row>
  </sheetData>
  <mergeCells count="2">
    <mergeCell ref="A2"/>
    <mergeCell ref="A1"/>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13_チェックリスト</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xl/worksheets/sheet15.xml><?xml version="1.0" encoding="utf-8"?>
<worksheet xmlns="http://schemas.openxmlformats.org/spreadsheetml/2006/main">
  <sheetPr>
    <tabColor rgb="004A4A4A"/>
    <outlinePr summaryBelow="1" summaryRight="1"/>
    <pageSetUpPr fitToPage="1"/>
  </sheetPr>
  <dimension ref="A1:A22"/>
  <sheetViews>
    <sheetView showGridLines="0" view="normal" zoomScale="110" zoomScaleNormal="110" workbookViewId="0">
      <pane ySplit="3" topLeftCell="A4" activePane="bottomLeft" state="frozen"/>
      <selection pane="bottomLeft" activeCell="A1" sqref="A1"/>
    </sheetView>
  </sheetViews>
  <sheetFormatPr baseColWidth="8" defaultColWidth="12" defaultRowHeight="18"/>
  <cols>
    <col width="120" customWidth="1" min="1" max="1"/>
  </cols>
  <sheetData>
    <row r="1" ht="32" customHeight="1">
      <c r="A1" s="1" t="inlineStr">
        <is>
          <t>14_出典</t>
        </is>
      </c>
    </row>
    <row r="2" ht="36" customHeight="1">
      <c r="A2" s="2" t="inlineStr">
        <is>
          <t>数値の根拠にした公開文書です。画面の現行値は、この環境のコンソールが優先します。</t>
        </is>
      </c>
    </row>
    <row r="3">
      <c r="A3" s="3" t="n"/>
    </row>
    <row r="4" ht="26" customHeight="1">
      <c r="A4" s="18" t="inlineStr">
        <is>
          <t>ECS</t>
        </is>
      </c>
    </row>
    <row r="5" ht="62" customHeight="1">
      <c r="A5" s="5" t="inlineStr">
        <is>
          <t>コンテナヘルスチェックの説明。startPeriod は失敗を retries に数えない猶予で、期間内の成功は直ちに healthy。https://docs.aws.amazon.com/AmazonECS/latest/developerguide/healthcheck.html</t>
        </is>
      </c>
    </row>
    <row r="6" ht="62" customHeight="1">
      <c r="A6" s="5" t="inlineStr">
        <is>
          <t>HealthCheck API。interval 5〜300 既定30、timeout 2〜60 既定5、retries 1〜10 既定3、startPeriod 0〜300。Fargate はプラットフォーム 1.1.0 以降。https://docs.aws.amazon.com/AmazonECS/latest/APIReference/API_HealthCheck.html</t>
        </is>
      </c>
    </row>
    <row r="7" ht="62" customHeight="1">
      <c r="A7" s="5" t="inlineStr">
        <is>
          <t>ContainerDependency。START、COMPLETE、SUCCESS、HEALTHY。HEALTHY は検査設定が必要で、確認は起動時だけ。https://docs.aws.amazon.com/AmazonECS/latest/APIReference/API_ContainerDependency.html</t>
        </is>
      </c>
    </row>
    <row r="8" ht="62" customHeight="1">
      <c r="A8" s="5" t="inlineStr">
        <is>
          <t>ContainerDefinition の startTimeout。Fargate の有効値は 2〜120 秒。Linux プラットフォーム 1.3.0 以降。https://docs.aws.amazon.com/AmazonECS/latest/APIReference/API_ContainerDefinition.html</t>
        </is>
      </c>
    </row>
    <row r="9" ht="62" customHeight="1">
      <c r="A9" s="5" t="inlineStr">
        <is>
          <t>Fargate のタスク定義パラメータ。startTimeout の最大は120秒、stopTimeout の最大は120秒、既定30秒。https://docs.aws.amazon.com/AmazonECS/latest/developerguide/task_definition_parameters.html</t>
        </is>
      </c>
    </row>
    <row r="10" ht="44" customHeight="1">
      <c r="A10" s="5" t="inlineStr">
        <is>
          <t>healthCheckGracePeriodSeconds。ELB、VPC Lattice、コンテナ検査を、タスク開始後に無視する。最大 2,147,483,647 秒。既定0。desired 超過時の例外あり。変更は新デプロイを起動しない。</t>
        </is>
      </c>
    </row>
    <row r="11" ht="62" customHeight="1">
      <c r="A11" s="5" t="inlineStr">
        <is>
          <t>ロードバランサー検査の最適化。新規ターゲットは成功1回で healthy。健全しきい値は unhealthy からの復帰だけ。既定の復帰例は30×5＝150秒。https://docs.aws.amazon.com/AmazonECS/latest/developerguide/load-balancer-healthcheck.html</t>
        </is>
      </c>
    </row>
    <row r="12" ht="26" customHeight="1">
      <c r="A12" s="18" t="inlineStr">
        <is>
          <t>ALB</t>
        </is>
      </c>
    </row>
    <row r="13" ht="80" customHeight="1">
      <c r="A13" s="5" t="inlineStr">
        <is>
          <t>ターゲットグループのヘルスチェック。間隔5〜300、タイムアウト2〜120、健全しきい値2〜10既定5、不健全しきい値2〜10既定2、成功コード200〜499。全ターゲット unhealthy のフェイルオープン。https://docs.aws.amazon.com/elasticloadbalancing/latest/application/target-group-health-checks.html</t>
        </is>
      </c>
    </row>
    <row r="14" ht="26" customHeight="1">
      <c r="A14" s="18" t="inlineStr">
        <is>
          <t>発表日</t>
        </is>
      </c>
    </row>
    <row r="15" ht="44" customHeight="1">
      <c r="A15" s="5" t="inlineStr">
        <is>
          <t>2017-12-27 ECS の ELB 猶予。https://aws.amazon.com/about-aws/whats-new/2017/12/amazon-ecs-adds-elb-health-check-grace-period/</t>
        </is>
      </c>
    </row>
    <row r="16" ht="62" customHeight="1">
      <c r="A16" s="5" t="inlineStr">
        <is>
          <t>2018-03-08 コンテナヘルスチェック。https://aws.amazon.com/about-aws/whats-new/2018/03/amazon-ecs-supports-container-health-checks-and-task-health-mana/</t>
        </is>
      </c>
    </row>
    <row r="17" ht="44" customHeight="1">
      <c r="A17" s="5" t="inlineStr">
        <is>
          <t>2018-03-26 Fargate プラットフォーム 1.1.0。https://aws.amazon.com/jp/about-aws/whats-new/2018/03/aws-fargate-platform-version-1-1/</t>
        </is>
      </c>
    </row>
    <row r="18" ht="44" customHeight="1">
      <c r="A18" s="5" t="inlineStr">
        <is>
          <t>2019-03-07 コンテナ依存関係。https://aws.amazon.com/about-aws/whats-new/2019/03/amazon-ecs-introduces-enhanced-container-dependency-management/</t>
        </is>
      </c>
    </row>
    <row r="19" ht="62" customHeight="1">
      <c r="A19" s="5" t="inlineStr">
        <is>
          <t>ADOT の ECS サンプルは /healthcheck、interval 5、timeout 6、retries 5、startPeriod 1。https://aws-otel.github.io/docs/setup/ecs/create-task-definition-console</t>
        </is>
      </c>
    </row>
    <row r="20" ht="26" customHeight="1">
      <c r="A20" s="18" t="inlineStr">
        <is>
          <t>このブックの限界</t>
        </is>
      </c>
    </row>
    <row r="21" ht="44" customHeight="1">
      <c r="A21" s="5" t="inlineStr">
        <is>
          <t>ワークスペースにタスク定義が無く、実行中サービスの実測は取っていません。210秒、30秒、Pの60秒は相談内容から置いた予算です。07_前提を実測へ変えると、01、08、09、11の式が追従します。</t>
        </is>
      </c>
    </row>
    <row r="22" ht="44" customHeight="1">
      <c r="A22" s="5" t="inlineStr">
        <is>
          <t>登録時刻と猶予のゼロ地点が同一秒であるとは、公式が1文では書いていません。安全側を採用すれば、ゼロ地点が前でも後でも、見積もりが不足側に倒れにくくなります。</t>
        </is>
      </c>
    </row>
  </sheetData>
  <mergeCells count="2">
    <mergeCell ref="A2"/>
    <mergeCell ref="A1"/>
  </mergeCells>
  <printOptions horizontalCentered="1"/>
  <pageMargins left="0.45" right="0.45" top="0.7" bottom="0.55" header="0.28" footer="0.28"/>
  <pageSetup orientation="landscape" paperSize="8" scale="100" fitToHeight="0" fitToWidth="1" horizontalDpi="300" verticalDpi="300"/>
  <headerFooter>
    <oddHeader>&amp;L&amp;"Meiryo UI"&amp;9 ECS Fargate  起動順・ヘルスチェック・猶予期間&amp;C&amp;R&amp;"Meiryo UI"&amp;9 14_出典</oddHeader>
    <oddFooter>&amp;L&amp;"Meiryo UI"&amp;8 前提シートの灰色セルを実測に置き換えると、計算シート以降が再計算される&amp;R&amp;"Meiryo UI"&amp;8 2026-10-07 時点の公開仕様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Grok</dc:creator>
  <dc:title xmlns:dc="http://purl.org/dc/elements/1.1/">ECS Fargate 起動順とヘルスチェック</dc:title>
  <dc:description xmlns:dc="http://purl.org/dc/elements/1.1/">Fargateタスクのフロント、バックエンド、ADOT、CloudWatch Agent の起動順と猶予の設計値。2026-10-07時点の公開仕様。</dc:description>
  <dc:subject xmlns:dc="http://purl.org/dc/elements/1.1/">startPeriod、depends_on HEALTHY、healthCheckGracePeriodSeconds</dc:subject>
  <dcterms:created xmlns:dcterms="http://purl.org/dc/terms/" xmlns:xsi="http://www.w3.org/2001/XMLSchema-instance" xsi:type="dcterms:W3CDTF">2026-10-07T13:10:06Z</dcterms:created>
  <dcterms:modified xmlns:dcterms="http://purl.org/dc/terms/" xmlns:xsi="http://www.w3.org/2001/XMLSchema-instance" xsi:type="dcterms:W3CDTF">2026-10-07T13:10:07Z</dcterms:modified>
  <cp:keywords>ECS,Fargate,ALB,startPeriod,healthCheckGracePeriodSeconds,ADOT</cp:keywords>
</cp:coreProperties>
</file>